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7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8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1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20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1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22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3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2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25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27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28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9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30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31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drawings/drawing32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33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rmware\MCU16ASMPS_Libraries\p33c-peripheral-register_abstraction-layer\.mchp-private\tools\"/>
    </mc:Choice>
  </mc:AlternateContent>
  <xr:revisionPtr revIDLastSave="0" documentId="13_ncr:1_{A9135CBD-5B07-45CF-87C5-6691799F3C31}" xr6:coauthVersionLast="47" xr6:coauthVersionMax="47" xr10:uidLastSave="{00000000-0000-0000-0000-000000000000}"/>
  <bookViews>
    <workbookView xWindow="-120" yWindow="-120" windowWidth="29040" windowHeight="15840" tabRatio="800" activeTab="10" xr2:uid="{AEC97326-C0AD-4E35-BEC8-D0E838CBA9EF}"/>
  </bookViews>
  <sheets>
    <sheet name="MCU" sheetId="12" r:id="rId1"/>
    <sheet name="GPIO" sheetId="8" r:id="rId2"/>
    <sheet name="OBJECTS" sheetId="9" r:id="rId3"/>
    <sheet name="PROPERTIES" sheetId="10" r:id="rId4"/>
    <sheet name="Ara-02" sheetId="13" r:id="rId5"/>
    <sheet name="Ara-03" sheetId="14" r:id="rId6"/>
    <sheet name="Ara-05" sheetId="15" r:id="rId7"/>
    <sheet name="Sagitta-02" sheetId="2" r:id="rId8"/>
    <sheet name="Sagitta-03" sheetId="3" r:id="rId9"/>
    <sheet name="Sagitta-05" sheetId="4" r:id="rId10"/>
    <sheet name="Sagitta-06" sheetId="17" r:id="rId11"/>
    <sheet name="Sagitta-08" sheetId="6" r:id="rId12"/>
    <sheet name="SagittaP-05" sheetId="5" r:id="rId13"/>
    <sheet name="SagittaP-06" sheetId="18" r:id="rId14"/>
    <sheet name="SagittaP-08" sheetId="16" r:id="rId15"/>
    <sheet name="SagittaPP-05" sheetId="20" r:id="rId16"/>
    <sheet name="SagittaPP-06" sheetId="22" r:id="rId17"/>
    <sheet name="SagittaPP-08" sheetId="23" r:id="rId18"/>
    <sheet name="SagittaPP-10" sheetId="24" r:id="rId19"/>
    <sheet name="OctansP-08" sheetId="19" r:id="rId20"/>
    <sheet name="GeminiM-02" sheetId="25" r:id="rId21"/>
    <sheet name="GeminiS-02" sheetId="26" r:id="rId22"/>
    <sheet name="GeminiM-03" sheetId="27" r:id="rId23"/>
    <sheet name="GeminiS-03" sheetId="28" r:id="rId24"/>
    <sheet name="GeminiM-05" sheetId="29" r:id="rId25"/>
    <sheet name="GeminiS-05" sheetId="30" r:id="rId26"/>
    <sheet name="GeminiM-06" sheetId="31" r:id="rId27"/>
    <sheet name="GeminiS-06" sheetId="32" r:id="rId28"/>
    <sheet name="GeminiM-08" sheetId="33" r:id="rId29"/>
    <sheet name="GeminiS-08" sheetId="34" r:id="rId30"/>
    <sheet name="SagittariusM-05" sheetId="35" r:id="rId31"/>
    <sheet name="SagittariusS-05" sheetId="36" r:id="rId32"/>
    <sheet name="SagittariusM-06" sheetId="37" r:id="rId33"/>
    <sheet name="SagittariusS-06" sheetId="38" r:id="rId34"/>
    <sheet name="SagittariusM-08" sheetId="39" r:id="rId35"/>
    <sheet name="SagittariusS-08" sheetId="40" r:id="rId36"/>
  </sheets>
  <functionGroups builtInGroupCount="19"/>
  <definedNames>
    <definedName name="_xlnm._FilterDatabase" localSheetId="4" hidden="1">'Ara-02'!$A$1:$N$29</definedName>
    <definedName name="_xlnm._FilterDatabase" localSheetId="5" hidden="1">'Ara-03'!$A$1:$N$37</definedName>
    <definedName name="_xlnm._FilterDatabase" localSheetId="6" hidden="1">'Ara-05'!$A$1:$N$49</definedName>
    <definedName name="_xlnm._FilterDatabase" localSheetId="20" hidden="1">'GeminiM-02'!$A$1:$N$29</definedName>
    <definedName name="_xlnm._FilterDatabase" localSheetId="22" hidden="1">'GeminiM-03'!$A$1:$N$37</definedName>
    <definedName name="_xlnm._FilterDatabase" localSheetId="24" hidden="1">'GeminiM-05'!$A$1:$N$49</definedName>
    <definedName name="_xlnm._FilterDatabase" localSheetId="26" hidden="1">'GeminiM-06'!$A$1:$N$65</definedName>
    <definedName name="_xlnm._FilterDatabase" localSheetId="28" hidden="1">'GeminiM-08'!$A$1:$N$81</definedName>
    <definedName name="_xlnm._FilterDatabase" localSheetId="21" hidden="1">'GeminiS-02'!$A$1:$N$29</definedName>
    <definedName name="_xlnm._FilterDatabase" localSheetId="23" hidden="1">'GeminiS-03'!$A$1:$N$37</definedName>
    <definedName name="_xlnm._FilterDatabase" localSheetId="25" hidden="1">'GeminiS-05'!$A$1:$N$49</definedName>
    <definedName name="_xlnm._FilterDatabase" localSheetId="27" hidden="1">'GeminiS-06'!$A$1:$N$65</definedName>
    <definedName name="_xlnm._FilterDatabase" localSheetId="29" hidden="1">'GeminiS-08'!$A$1:$N$81</definedName>
    <definedName name="_xlnm._FilterDatabase" localSheetId="0" hidden="1">MCU!$A$1:$C$2</definedName>
    <definedName name="_xlnm._FilterDatabase" localSheetId="19" hidden="1">'OctansP-08'!$A$1:$N$106</definedName>
    <definedName name="_xlnm._FilterDatabase" localSheetId="7" hidden="1">'Sagitta-02'!$A$1:$N$29</definedName>
    <definedName name="_xlnm._FilterDatabase" localSheetId="8" hidden="1">'Sagitta-03'!$A$1:$N$37</definedName>
    <definedName name="_xlnm._FilterDatabase" localSheetId="9" hidden="1">'Sagitta-05'!$A$1:$N$49</definedName>
    <definedName name="_xlnm._FilterDatabase" localSheetId="10" hidden="1">'Sagitta-06'!$A$1:$N$65</definedName>
    <definedName name="_xlnm._FilterDatabase" localSheetId="11" hidden="1">'Sagitta-08'!$A$1:$Q$81</definedName>
    <definedName name="_xlnm._FilterDatabase" localSheetId="12" hidden="1">'SagittaP-05'!$A$1:$N$47</definedName>
    <definedName name="_xlnm._FilterDatabase" localSheetId="13" hidden="1">'SagittaP-06'!$A$1:$N$65</definedName>
    <definedName name="_xlnm._FilterDatabase" localSheetId="14" hidden="1">'SagittaP-08'!$A$1:$N$81</definedName>
    <definedName name="_xlnm._FilterDatabase" localSheetId="15" hidden="1">'SagittaPP-05'!$A$1:$N$49</definedName>
    <definedName name="_xlnm._FilterDatabase" localSheetId="16" hidden="1">'SagittaPP-06'!$A$1:$N$65</definedName>
    <definedName name="_xlnm._FilterDatabase" localSheetId="17" hidden="1">'SagittaPP-08'!$A$1:$N$81</definedName>
    <definedName name="_xlnm._FilterDatabase" localSheetId="18" hidden="1">'SagittaPP-10'!$A$1:$N$101</definedName>
    <definedName name="_xlnm._FilterDatabase" localSheetId="30" hidden="1">'SagittariusM-05'!$A$1:$N$49</definedName>
    <definedName name="_xlnm._FilterDatabase" localSheetId="32" hidden="1">'SagittariusM-06'!$A$1:$N$65</definedName>
    <definedName name="_xlnm._FilterDatabase" localSheetId="34" hidden="1">'SagittariusM-08'!$A$1:$N$81</definedName>
    <definedName name="_xlnm._FilterDatabase" localSheetId="31" hidden="1">'SagittariusS-05'!$A$1:$N$49</definedName>
    <definedName name="_xlnm._FilterDatabase" localSheetId="33" hidden="1">'SagittariusS-06'!$A$1:$N$65</definedName>
    <definedName name="_xlnm._FilterDatabase" localSheetId="35" hidden="1">'SagittariusS-08'!$A$1:$N$81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8" l="1"/>
</calcChain>
</file>

<file path=xl/sharedStrings.xml><?xml version="1.0" encoding="utf-8"?>
<sst xmlns="http://schemas.openxmlformats.org/spreadsheetml/2006/main" count="4166" uniqueCount="1284">
  <si>
    <t>Pin</t>
  </si>
  <si>
    <t>Port</t>
  </si>
  <si>
    <t>RPid</t>
  </si>
  <si>
    <t>ADCAN</t>
  </si>
  <si>
    <t>ADCORE</t>
  </si>
  <si>
    <t>CMPxIN</t>
  </si>
  <si>
    <t>DAC</t>
  </si>
  <si>
    <t>I2C</t>
  </si>
  <si>
    <t>OPA</t>
  </si>
  <si>
    <t>PGA</t>
  </si>
  <si>
    <t>PG</t>
  </si>
  <si>
    <t>SPI</t>
  </si>
  <si>
    <t>RA0</t>
  </si>
  <si>
    <t xml:space="preserve">16 OA1OUT/AN0/CMP1A/IBIAS0/RA0 </t>
  </si>
  <si>
    <t>User:</t>
  </si>
  <si>
    <t>Andreas Reiter - M91406</t>
  </si>
  <si>
    <t>RA1</t>
  </si>
  <si>
    <t xml:space="preserve">18 OA1IN-/ANA1/RA1 </t>
  </si>
  <si>
    <t>Date:</t>
  </si>
  <si>
    <t>RA2</t>
  </si>
  <si>
    <t xml:space="preserve">20 OA1IN+/AN9/PMA6/RA2 </t>
  </si>
  <si>
    <t>Version:</t>
  </si>
  <si>
    <t>RA3</t>
  </si>
  <si>
    <t xml:space="preserve">21 DACOUT1/AN3/CMP1C/RA3 </t>
  </si>
  <si>
    <t>RA4</t>
  </si>
  <si>
    <t xml:space="preserve">23 OA3OUT/AN4/CMP3B/IBIAS3/RA4 </t>
  </si>
  <si>
    <t>RB0</t>
  </si>
  <si>
    <t xml:space="preserve">34 OSCI/CLKI/AN5/RP32/PMD10/PMA10/RB0 </t>
  </si>
  <si>
    <t>RB1</t>
  </si>
  <si>
    <t xml:space="preserve">35 OSCO/CLKO/AN6/RP33/PMA1/PMALH/PSA1/RB1(3) </t>
  </si>
  <si>
    <t>RB2</t>
  </si>
  <si>
    <t>41 OA2OUT/AN1/AN7/ANA0/CMP1D/CMP2D/CMP3D/RP34/SCL3/INT0/RB2</t>
  </si>
  <si>
    <t>RB3</t>
  </si>
  <si>
    <t>43 PGD2/OA2IN-/AN8/RP35/RB3</t>
  </si>
  <si>
    <t>RB4</t>
  </si>
  <si>
    <t>45 PGC2/OA2IN+/RP36/RB4</t>
  </si>
  <si>
    <t>RB5</t>
  </si>
  <si>
    <t>55 PGD3/RP37/SDA2/PMA14/PMCS1/PSCS/RB5</t>
  </si>
  <si>
    <t>RB6</t>
  </si>
  <si>
    <t>56 PGC3/RP38/SCL2/RB6</t>
  </si>
  <si>
    <t>RB7</t>
  </si>
  <si>
    <t>58 TDO/AN2/CMP3A/RP39/SDA3/RB7</t>
  </si>
  <si>
    <t>RB8</t>
  </si>
  <si>
    <t>60 PGD1/AN10/RP40/SCL1/RB8</t>
  </si>
  <si>
    <t>RB9</t>
  </si>
  <si>
    <t>61 PGC1/AN11/RP41/SDA1/RB9</t>
  </si>
  <si>
    <t>RB10</t>
  </si>
  <si>
    <t>75 TMS/RP42/PWM3H/PMD1/RB10(2)</t>
  </si>
  <si>
    <t>RB11</t>
  </si>
  <si>
    <t>76 TCK/RP43/PWM3L/PMD2/RB11</t>
  </si>
  <si>
    <t>RB12</t>
  </si>
  <si>
    <t>78 TDI/RP44/PWM2H/PMD3/RB12</t>
  </si>
  <si>
    <t>RB13</t>
  </si>
  <si>
    <t>80 RP45/PWM2L/PMD4/RB13</t>
  </si>
  <si>
    <t>RB14</t>
  </si>
  <si>
    <t xml:space="preserve">1 RP46/PWM1H/PMD5/RB14 </t>
  </si>
  <si>
    <t>RB15</t>
  </si>
  <si>
    <t xml:space="preserve">3 RP47/PWM1L/PMD6/RB15 </t>
  </si>
  <si>
    <t>RC0</t>
  </si>
  <si>
    <t xml:space="preserve">15 AN12/ANN0/RP48/RC0 </t>
  </si>
  <si>
    <t>RC1</t>
  </si>
  <si>
    <t xml:space="preserve">28 OA3IN-/AN13/CMP1B/ISRC0/RP49/PMA7/RC1 </t>
  </si>
  <si>
    <t>RC2</t>
  </si>
  <si>
    <t xml:space="preserve">29 OA3IN+/AN14/CMP2B/ISRC1/RP50/PMD13/PMA13/RC2 </t>
  </si>
  <si>
    <t>RC3</t>
  </si>
  <si>
    <t xml:space="preserve">33 AN15/CMP2A/IBIAS2/RP51/PMD11/PMA11/RC3 </t>
  </si>
  <si>
    <t>RC4</t>
  </si>
  <si>
    <t>63 RP52/PWM5H/ASDA2/RC4</t>
  </si>
  <si>
    <t>RC5</t>
  </si>
  <si>
    <t>65 RP53/PWM5L/ASCL2/PMWR/PMENB/PSWR/RC5</t>
  </si>
  <si>
    <t>RC6</t>
  </si>
  <si>
    <t xml:space="preserve">30 AN17/ANN1/IBIAS1/RP54/PMD12/PMA12/RC6 </t>
  </si>
  <si>
    <t>RC7</t>
  </si>
  <si>
    <t xml:space="preserve">40 AN16/ISRC2/RP55/PMD8/PMA8/RC7 </t>
  </si>
  <si>
    <t>RC8</t>
  </si>
  <si>
    <t>46 RP56/ASDA1/SCK2/RC8</t>
  </si>
  <si>
    <t>RC9</t>
  </si>
  <si>
    <t>47 RP57/ASCL1/SDI2/RC9</t>
  </si>
  <si>
    <t>RC10</t>
  </si>
  <si>
    <t>66 RP58/PWM7H/PMRD/PMWR/PSRD/RC10</t>
  </si>
  <si>
    <t>RC11</t>
  </si>
  <si>
    <t>67 RP59/PWM7L/RC11</t>
  </si>
  <si>
    <t>RC12</t>
  </si>
  <si>
    <t xml:space="preserve">5 RP60/PWM8H/PMD7/RC12 </t>
  </si>
  <si>
    <t>RC13</t>
  </si>
  <si>
    <t xml:space="preserve">6 RP61/PWM8L/PMA5/RC13 </t>
  </si>
  <si>
    <t>RC14</t>
  </si>
  <si>
    <t xml:space="preserve">7 RP62/PWM6H/PMA4/RC14 </t>
  </si>
  <si>
    <t>RC15</t>
  </si>
  <si>
    <t xml:space="preserve">8 RP63/PWM6L/PMA3/RC15 </t>
  </si>
  <si>
    <t>RD0</t>
  </si>
  <si>
    <t>74 RP64/PWM4L/PMD0/RD0</t>
  </si>
  <si>
    <t>RD1</t>
  </si>
  <si>
    <t>73 RP65/PWM4H/RD1</t>
  </si>
  <si>
    <t>RD2</t>
  </si>
  <si>
    <t>72 RP66/RD2</t>
  </si>
  <si>
    <t>RD3</t>
  </si>
  <si>
    <t>69 RP67/ASCL3/RD3</t>
  </si>
  <si>
    <t>RD4</t>
  </si>
  <si>
    <t>68 RP68/ASDA3/RD4</t>
  </si>
  <si>
    <t>RD5</t>
  </si>
  <si>
    <t>54 RP69/PMA15/PMCS2/RD5</t>
  </si>
  <si>
    <t>RD6</t>
  </si>
  <si>
    <t>53 RP70/PMD14/RD6</t>
  </si>
  <si>
    <t>RD7</t>
  </si>
  <si>
    <t>52 RP71/PMD15/RD7</t>
  </si>
  <si>
    <t>RD8</t>
  </si>
  <si>
    <t>49 RP72/SDO2/PCI19/RD8</t>
  </si>
  <si>
    <t>RD9</t>
  </si>
  <si>
    <t>48 RP73/PCI20/RD9</t>
  </si>
  <si>
    <t>RD10</t>
  </si>
  <si>
    <t xml:space="preserve">38 AN18/CMP3C/ISRC3/RP74/PMD9/PMA9/RD10 </t>
  </si>
  <si>
    <t>RD11</t>
  </si>
  <si>
    <t xml:space="preserve">36 AN19/CMP2C/RP75/PMA0/PMALL/PSA0/RD11 </t>
  </si>
  <si>
    <t>RD12</t>
  </si>
  <si>
    <t xml:space="preserve">27 RP76/RD12 </t>
  </si>
  <si>
    <t>RD13</t>
  </si>
  <si>
    <t xml:space="preserve">14 ANN2/RP77/RD13 </t>
  </si>
  <si>
    <t>RD14</t>
  </si>
  <si>
    <t xml:space="preserve">13 RP78/PCI21/RD14 </t>
  </si>
  <si>
    <t>RD15</t>
  </si>
  <si>
    <t xml:space="preserve">10 RP79/PCI22/PMA2/RD15 </t>
  </si>
  <si>
    <t>RE0</t>
  </si>
  <si>
    <t xml:space="preserve">2 AN20/RE0 </t>
  </si>
  <si>
    <t>RE1</t>
  </si>
  <si>
    <t xml:space="preserve">4 AN21/RE1 </t>
  </si>
  <si>
    <t>RE2</t>
  </si>
  <si>
    <t xml:space="preserve">17 AN22/RE2 </t>
  </si>
  <si>
    <t>RE3</t>
  </si>
  <si>
    <t xml:space="preserve">19 AN23/RE3 </t>
  </si>
  <si>
    <t>RE4</t>
  </si>
  <si>
    <t>22 RE4</t>
  </si>
  <si>
    <t>RE5</t>
  </si>
  <si>
    <t xml:space="preserve">24 RE5 </t>
  </si>
  <si>
    <t>RE6</t>
  </si>
  <si>
    <t xml:space="preserve">37 RE6 </t>
  </si>
  <si>
    <t>RE7</t>
  </si>
  <si>
    <t xml:space="preserve">39 RE7 </t>
  </si>
  <si>
    <t>RE8</t>
  </si>
  <si>
    <t>42 RE8</t>
  </si>
  <si>
    <t>RE9</t>
  </si>
  <si>
    <t>44 RE9</t>
  </si>
  <si>
    <t>RE10</t>
  </si>
  <si>
    <t>57 RE10</t>
  </si>
  <si>
    <t>RE11</t>
  </si>
  <si>
    <t>59 RE11</t>
  </si>
  <si>
    <t>RE12</t>
  </si>
  <si>
    <t>62 RE12</t>
  </si>
  <si>
    <t>RE13</t>
  </si>
  <si>
    <t>64 RE13</t>
  </si>
  <si>
    <t>RE14</t>
  </si>
  <si>
    <t>77 RE14</t>
  </si>
  <si>
    <t>RE15</t>
  </si>
  <si>
    <t>79 RE15</t>
  </si>
  <si>
    <t xml:space="preserve">11 VSS </t>
  </si>
  <si>
    <t xml:space="preserve">12 VDD </t>
  </si>
  <si>
    <t xml:space="preserve">25 AVDD </t>
  </si>
  <si>
    <t xml:space="preserve">26 AVss </t>
  </si>
  <si>
    <t xml:space="preserve">31 VDD </t>
  </si>
  <si>
    <t xml:space="preserve">32 VSS </t>
  </si>
  <si>
    <t>50 VSS</t>
  </si>
  <si>
    <t>51 VDD</t>
  </si>
  <si>
    <t>70 VSS</t>
  </si>
  <si>
    <t>71 VDD</t>
  </si>
  <si>
    <t xml:space="preserve">9 MCLR </t>
  </si>
  <si>
    <t xml:space="preserve">1 RP46/PWM1H/RB14 </t>
  </si>
  <si>
    <t xml:space="preserve">2 RP47/PWM1L/RB15 </t>
  </si>
  <si>
    <t xml:space="preserve">3 MCLR </t>
  </si>
  <si>
    <t xml:space="preserve">4 AN12/ANN0/RP48/RC0 </t>
  </si>
  <si>
    <t xml:space="preserve">5 OA1OUT/AN0/CMP1A/IBIAS0/RA0 </t>
  </si>
  <si>
    <t xml:space="preserve">6 OA1IN-/ANA1/RA1 </t>
  </si>
  <si>
    <t xml:space="preserve">7 OA1IN+/AN9/RA2 </t>
  </si>
  <si>
    <t xml:space="preserve">8 DACOUT1/AN3/CMP1C/RA3 </t>
  </si>
  <si>
    <t xml:space="preserve">9 OA3OUT/AN4/CMP3B/IBIAS3/RA4 </t>
  </si>
  <si>
    <t xml:space="preserve">10 AVDD </t>
  </si>
  <si>
    <t xml:space="preserve">11 AVSS </t>
  </si>
  <si>
    <t xml:space="preserve">12 OA3IN-/AN13/CMP1B/ISRC0/RP49/RC1 </t>
  </si>
  <si>
    <t xml:space="preserve">13 OA3IN+/AN14/CMP2B/ISRC1/RP50/RC2 </t>
  </si>
  <si>
    <t xml:space="preserve">14 VDD </t>
  </si>
  <si>
    <t xml:space="preserve">15 VSS </t>
  </si>
  <si>
    <t xml:space="preserve">16 AN15/CMP2A/IBIAS2/RP51/RC3 </t>
  </si>
  <si>
    <t xml:space="preserve">17 OSCI/CLKI/AN5/RP32/RB0 </t>
  </si>
  <si>
    <t xml:space="preserve">18 OSCO/CLKO/AN6/RP33/RB1(3) </t>
  </si>
  <si>
    <t>19 OA2OUT/AN1/AN7/ANA0/CMP1D/CMP2D/CMP3D/RP34/SCL3/INT0/RB2</t>
  </si>
  <si>
    <t>20 PGD2/OA2IN-/AN8/RP35/RB3</t>
  </si>
  <si>
    <t>21 PGC2/OA2IN+/RP36/RB4</t>
  </si>
  <si>
    <t>22 VSS</t>
  </si>
  <si>
    <t>23 VDD</t>
  </si>
  <si>
    <t>24 PGD3/RP37/PWM6L/SDA2/RB5</t>
  </si>
  <si>
    <t>25 PGC3/RP38/PWM6H/SCL2/RB6</t>
  </si>
  <si>
    <t>26 TDO/AN2/CMP3A/RP39/SDA3/RB7</t>
  </si>
  <si>
    <t>27 PGD1/AN10/RP40/SCL1/RB8</t>
  </si>
  <si>
    <t>28 PGC1/AN11/RP41/SDA1/RB9</t>
  </si>
  <si>
    <t>29 RP52/PWM5H/ASDA2/RC4</t>
  </si>
  <si>
    <t>30 RP53/PWM5L/ASCL2/RC5</t>
  </si>
  <si>
    <t>31 VSS</t>
  </si>
  <si>
    <t>32 VDD</t>
  </si>
  <si>
    <t>33 TMS/RP42/PWM3H/RB10(2)</t>
  </si>
  <si>
    <t>34 TCK/RP43/PWM3L/RB11</t>
  </si>
  <si>
    <t>35 TDI/RP44/PWM2H/RB12</t>
  </si>
  <si>
    <t>36 RP45/PWM2L/RB13</t>
  </si>
  <si>
    <t xml:space="preserve">4 OA1OUT/AN0/CMP1A/IBIAS0/RA0 </t>
  </si>
  <si>
    <t xml:space="preserve">5 OA1IN-/ANA1/RA1 </t>
  </si>
  <si>
    <t xml:space="preserve">6 OA1IN+/AN9/RA2 </t>
  </si>
  <si>
    <t xml:space="preserve">7 DACOUT1/AN3/CMP1C/RA3 </t>
  </si>
  <si>
    <t xml:space="preserve">8 AN4/CMP3B/IBIAS3/RA4 </t>
  </si>
  <si>
    <t xml:space="preserve">9 AVDD </t>
  </si>
  <si>
    <t xml:space="preserve">10 AVSS </t>
  </si>
  <si>
    <t xml:space="preserve">11 VDD </t>
  </si>
  <si>
    <t xml:space="preserve">12 VSS </t>
  </si>
  <si>
    <t xml:space="preserve">13 OSCI/CLKI/AN5/RP32/RB0 </t>
  </si>
  <si>
    <t xml:space="preserve">14 OSCO/CLKO/AN6/RP33/RB1(3) </t>
  </si>
  <si>
    <t>15 OA2OUT/AN1/AN7/ANA0/CMP1D/CMP2D/CMP3D/RP34/SCL3/INT0/RB2</t>
  </si>
  <si>
    <t>16 PGD2/OA2IN-/AN8/RP35/RB3</t>
  </si>
  <si>
    <t>17 PGC2/OA2IN+/RP36/RB4</t>
  </si>
  <si>
    <t>18 PGD3/RP37/SDA2/RB5</t>
  </si>
  <si>
    <t>19 PGC3/RP38/SCL2/RB6</t>
  </si>
  <si>
    <t>20 TDO/AN2/CMP3A/RP39/SDA3/RB7</t>
  </si>
  <si>
    <t>21 PGD1/AN10/RP40/SCL1/RB8</t>
  </si>
  <si>
    <t>22 PGC1/AN11/RP41/SDA1/RB9</t>
  </si>
  <si>
    <t>23 VSS</t>
  </si>
  <si>
    <t>24 VDD</t>
  </si>
  <si>
    <t>25 TMS/RP42/PWM3H/RB10(2)</t>
  </si>
  <si>
    <t>26 TCK/RP43/PWM3L/RB11</t>
  </si>
  <si>
    <t>27 TDI/RP44/PWM2H/RB12</t>
  </si>
  <si>
    <t>28 RP45/PWM2L/RB13</t>
  </si>
  <si>
    <t xml:space="preserve">3 RP60/PWM8H/RC12 </t>
  </si>
  <si>
    <t xml:space="preserve">4 RP61/PWM8L/RC13 </t>
  </si>
  <si>
    <t xml:space="preserve">5 MCLR </t>
  </si>
  <si>
    <t xml:space="preserve">6 ANN2/RP77/RD13 </t>
  </si>
  <si>
    <t xml:space="preserve">7 AN12/ANN0/RP48/RC0 </t>
  </si>
  <si>
    <t xml:space="preserve">8 OA1OUT/AN0/CMP1A/IBIAS0/RA0 </t>
  </si>
  <si>
    <t xml:space="preserve">9 OA1IN-/ANA1/RA1 </t>
  </si>
  <si>
    <t xml:space="preserve">10 OA1IN+/AN9/RA2 </t>
  </si>
  <si>
    <t xml:space="preserve">11 DACOUT1/AN3/CMP1C/RA3 </t>
  </si>
  <si>
    <t xml:space="preserve">12 OA3OUT/AN4/CMP3B/IBIAS3/RA4 </t>
  </si>
  <si>
    <t xml:space="preserve">13 AVDD </t>
  </si>
  <si>
    <t xml:space="preserve">14 AVSS </t>
  </si>
  <si>
    <t xml:space="preserve">15 OA3IN-/AN13/CMP1B/ISRC0/RP49/RC1 </t>
  </si>
  <si>
    <t xml:space="preserve">16 OA3IN+/AN14/CMP2B/ISRC1/RP50/RC2 </t>
  </si>
  <si>
    <t xml:space="preserve">17 AN17/ANN1/IBIAS1/RP54/RC6 </t>
  </si>
  <si>
    <t xml:space="preserve">18 VDD </t>
  </si>
  <si>
    <t xml:space="preserve">19 VSS </t>
  </si>
  <si>
    <t xml:space="preserve">20 AN15/CMP2A/IBIAS2/RP51/RC3 </t>
  </si>
  <si>
    <t xml:space="preserve">21 OSCI/CLKI/AN5/RP32/RB0 </t>
  </si>
  <si>
    <t xml:space="preserve">22 OSCO/CLKO/AN6/RP33/RB1(3) </t>
  </si>
  <si>
    <t xml:space="preserve">23 AN18/CMP3C/ISRC3/RP74/RD10 </t>
  </si>
  <si>
    <t xml:space="preserve">24 AN16/ISRC2/RP55/RC7 </t>
  </si>
  <si>
    <t>25 OA2OUT/AN1/AN7/ANA0/CMP1D/CMP2D/CMP3D/RP34/SCL3/INT0/RB2</t>
  </si>
  <si>
    <t>26 PGD2/OA2IN-/AN8/RP35/RB3</t>
  </si>
  <si>
    <t>27 PGC2/OA2IN+/RP36/RB4</t>
  </si>
  <si>
    <t>28 RP56/ASDA1/SCK2/RC8</t>
  </si>
  <si>
    <t>29 RP57/ASCL1/SDI2/RC9</t>
  </si>
  <si>
    <t>30 RP72/SDO2/PCI19/RD8</t>
  </si>
  <si>
    <t>33 PGD3/RP37/PWM6L/SDA2/RB5</t>
  </si>
  <si>
    <t>34 PGC3/RP38/PWM6H/SCL2/RB6</t>
  </si>
  <si>
    <t>35 TDO/AN2/CMP3A/RP39/SDA3/RB7</t>
  </si>
  <si>
    <t>36 PGD1/AN10/RP40/SCL1/RB8</t>
  </si>
  <si>
    <t>37 PGC1/AN11/RP41/SDA1/RB9</t>
  </si>
  <si>
    <t>38 RP52/PWM5H/ASDA2/RC4</t>
  </si>
  <si>
    <t>39 RP53/PWM5L/ASCL2/RC5</t>
  </si>
  <si>
    <t>40 RP58/PWM7H/RC10</t>
  </si>
  <si>
    <t>41 RP59/PWM7L/RC11</t>
  </si>
  <si>
    <t>42 VSS</t>
  </si>
  <si>
    <t>43 VDD</t>
  </si>
  <si>
    <t>44 RP65/PWM4H/RD1</t>
  </si>
  <si>
    <t>45 TMS/RP42/PWM3H/RB10(2)</t>
  </si>
  <si>
    <t>46 TCK/RP43/PWM3L/RB11</t>
  </si>
  <si>
    <t>47 TDI/RP44/PWM2H/RB12</t>
  </si>
  <si>
    <t>48 RP45/PWM2L/RB13</t>
  </si>
  <si>
    <t>Attributes</t>
  </si>
  <si>
    <t>Prefix</t>
  </si>
  <si>
    <t>Function</t>
  </si>
  <si>
    <t>Parameter</t>
  </si>
  <si>
    <t>Function Body</t>
  </si>
  <si>
    <t>Comment</t>
  </si>
  <si>
    <t>Condition</t>
  </si>
  <si>
    <t>static inline bool</t>
  </si>
  <si>
    <t>Get</t>
  </si>
  <si>
    <t>(void)</t>
  </si>
  <si>
    <t>{ return((bool)_R%PORT%%PIN%); }</t>
  </si>
  <si>
    <t>Gets the most recent pin state (either logic HIGH = 1 or LOW = 0)</t>
  </si>
  <si>
    <t>static inline void</t>
  </si>
  <si>
    <t>Set</t>
  </si>
  <si>
    <t>{ asm volatile ("bset _LAT%PORT%, #%PIN% \n"); }</t>
  </si>
  <si>
    <t>Sets the most recent pin state to logic HIGH</t>
  </si>
  <si>
    <t>Clear</t>
  </si>
  <si>
    <t>{ asm volatile ("bclr _LAT%PORT%, #%PIN% \n"); }</t>
  </si>
  <si>
    <t>Sets the most recent pin state to logic LOW</t>
  </si>
  <si>
    <t>Toggle</t>
  </si>
  <si>
    <t>{ asm volatile ("btg _LAT%PORT%, #%PIN% \n"); }</t>
  </si>
  <si>
    <t>Toggles the most recent pin state</t>
  </si>
  <si>
    <t>SetInput</t>
  </si>
  <si>
    <t>{ asm volatile ("bset _TRIS%PORT%, #%PIN% \n"); }</t>
  </si>
  <si>
    <t>Sets the pin direction to high impedance input (no state change)</t>
  </si>
  <si>
    <t>SetOutput</t>
  </si>
  <si>
    <t>{ asm volatile ("bclr _TRIS%PORT%, #%PIN% \n"); }</t>
  </si>
  <si>
    <t>Sets the pin direction to low impedance output (no state change)</t>
  </si>
  <si>
    <t>SetState</t>
  </si>
  <si>
    <t>(bool s)</t>
  </si>
  <si>
    <t>{ _LAT%PORT%%PIN% = s; }</t>
  </si>
  <si>
    <t>Init</t>
  </si>
  <si>
    <t>(bool d, bool s)</t>
  </si>
  <si>
    <t>{ _LAT%PORT%%PIN% = s; _TRIS%PORT%%PIN% = d; }</t>
  </si>
  <si>
    <t>Initializes the pin setting direction (TRIS = d) and initial state (LAT = s)</t>
  </si>
  <si>
    <t>Dispose</t>
  </si>
  <si>
    <t>{ _TRIS%PORT%%PIN% = 1; _LAT%PORT%%PIN% = 1; }</t>
  </si>
  <si>
    <t>Sets the pin to high impedance input (RESET default)</t>
  </si>
  <si>
    <t>GetOpenDrain</t>
  </si>
  <si>
    <t xml:space="preserve">{ return(_ODC%PORT%%PIN%); } </t>
  </si>
  <si>
    <t>Gets the pin open drain mode</t>
  </si>
  <si>
    <t>SetOpenDrain</t>
  </si>
  <si>
    <t>(bool a)</t>
  </si>
  <si>
    <t>{ _ODC%PORT%%PIN% = a; }</t>
  </si>
  <si>
    <t>Sets the pin open drain mode</t>
  </si>
  <si>
    <t>GetPullUp</t>
  </si>
  <si>
    <t>{ return(_CNPU%PORT%%PIN%); }</t>
  </si>
  <si>
    <t xml:space="preserve">Gets the connection state of the pin's pull up resistor </t>
  </si>
  <si>
    <t>SetPullUp</t>
  </si>
  <si>
    <t>{ _CNPU%PORT%%PIN% = a; }</t>
  </si>
  <si>
    <t>Sets the connection state of the pin's pull up resistor</t>
  </si>
  <si>
    <t>GetPullDown</t>
  </si>
  <si>
    <t>Gets the connection state of the pin's pull down resistor</t>
  </si>
  <si>
    <t>SetPullDown</t>
  </si>
  <si>
    <t>Sets the connection state of the pin's pull down resistor</t>
  </si>
  <si>
    <t>SetAnalog</t>
  </si>
  <si>
    <t>{ _ANSEL%PORT%%PIN% = 1; }</t>
  </si>
  <si>
    <t>Enable analog functions of this pin</t>
  </si>
  <si>
    <t>#if defined (_ANSEL%PORT%%PIN%)</t>
  </si>
  <si>
    <t>SetDigital</t>
  </si>
  <si>
    <t>{ _ANSEL%PORT%%PIN% = 0; }</t>
  </si>
  <si>
    <t>Disable analog functions of this pin</t>
  </si>
  <si>
    <t>Qualifier</t>
  </si>
  <si>
    <t>P33C_ADCAN_COUNT &gt; 0</t>
  </si>
  <si>
    <t>P33C_DAC_COUNT &gt; 0</t>
  </si>
  <si>
    <t>P33C_I2C_COUNT &gt; 0</t>
  </si>
  <si>
    <t>P33C_OPA_COUNT &gt; 0</t>
  </si>
  <si>
    <t>P33C_PGA_COUNT &gt; 0</t>
  </si>
  <si>
    <t>P33C_PG_COUNT &gt; 0</t>
  </si>
  <si>
    <t>P33C_SPI_COUNT &gt; 0</t>
  </si>
  <si>
    <t>Data Type</t>
  </si>
  <si>
    <t>P33C_ADCAN_INSTANCE_t</t>
  </si>
  <si>
    <t>P33C_DAC_INSTANCE_t</t>
  </si>
  <si>
    <t>P33C_I2C_INSTANCE_t</t>
  </si>
  <si>
    <t>P33C_OPA_INSTANCE_t</t>
  </si>
  <si>
    <t>P33C_PGA_INSTANCE_t</t>
  </si>
  <si>
    <t>P33C_PWM_INSTANCE_t</t>
  </si>
  <si>
    <t>P33C_SPI_INSTANCE_t</t>
  </si>
  <si>
    <t>Pointer Reference</t>
  </si>
  <si>
    <t>p33c_AdcAnInstance[%INSTANCE%]</t>
  </si>
  <si>
    <t>DAC%INSTANCE%CONL</t>
  </si>
  <si>
    <t>I2C%INSTANCE%CONL</t>
  </si>
  <si>
    <t>AMPCON%INSTANCE%L</t>
  </si>
  <si>
    <t>PGA%INSTANCE%CON</t>
  </si>
  <si>
    <t>PG%INSTANCE%CONL</t>
  </si>
  <si>
    <t>SPI%INSTANCE%CON1L</t>
  </si>
  <si>
    <t>Pointer to ADC input instance data object available at this device pin</t>
  </si>
  <si>
    <t>Pointer to DAC/Comparator instance data object available at this device pin</t>
  </si>
  <si>
    <t>Pointer to I2C interface peripheral instance data object available at this device pin</t>
  </si>
  <si>
    <t>Pointer to Op-Amp instance data object available at this device pin</t>
  </si>
  <si>
    <t>Pointer to Programmable Gain Amplifier instance data object available at this device pin</t>
  </si>
  <si>
    <t>Pointer to PWM Generator peripheral instance data object available at this device pin</t>
  </si>
  <si>
    <t>Pointer to SPI interface peripheral instance data object available at this device pin</t>
  </si>
  <si>
    <t>Label</t>
  </si>
  <si>
    <t>Index of device port this device pin is part of (0=A, 1=B, 2=C, 3=D, etc), =-1 if not available</t>
  </si>
  <si>
    <t>Index of device pin within its device port (0-15), =-1 if not available</t>
  </si>
  <si>
    <t>Remappable Pin ID of this device pin, =-1 if not available</t>
  </si>
  <si>
    <t>Index of ADC input instance available at this device pin, =-1 if not available</t>
  </si>
  <si>
    <t>Index of ADC core connected to analog input of this pin, valid range: 0 to 7, =-1 if not available</t>
  </si>
  <si>
    <t>Index of comparator input multiplexer channel available at this pin (0=A, 1=B, 2=C, 3=D), =-1 if not available</t>
  </si>
  <si>
    <t>Index of DAC instance available at this device pin, =-1 if not available</t>
  </si>
  <si>
    <t>Index of I2C peripheral instance available at this device pin, =-1 if not available</t>
  </si>
  <si>
    <t>Index of Op-Amp peripheral instance available at this device pin, =-1 if not available</t>
  </si>
  <si>
    <t>Index of Programmable Gain Amplifier peripheral instance available at this device pin, =-1 if not available</t>
  </si>
  <si>
    <t>Index of PWM Generator peripheral instance available at this device pin, =-1 if not available</t>
  </si>
  <si>
    <t>Index of SPI peripheral instance available at this device pin, =-1 if not available</t>
  </si>
  <si>
    <t>MCU Properties</t>
  </si>
  <si>
    <t>Pin Name</t>
  </si>
  <si>
    <t xml:space="preserve">1 OA1IN-/ANA1/RA1 </t>
  </si>
  <si>
    <t xml:space="preserve">2 OA1IN+/AN9/RA2 </t>
  </si>
  <si>
    <t xml:space="preserve">3 DACOUT/AN3/CMP1C/RA3 </t>
  </si>
  <si>
    <t xml:space="preserve">4 AN4/CMP3B/IBIAS3/RA4 </t>
  </si>
  <si>
    <t xml:space="preserve">5 AVDD </t>
  </si>
  <si>
    <t xml:space="preserve">6 AVSS </t>
  </si>
  <si>
    <t xml:space="preserve">7 VDD </t>
  </si>
  <si>
    <t xml:space="preserve">8 VSS </t>
  </si>
  <si>
    <t xml:space="preserve">9 OSCI/CLKI/AN5/RP32/RB0 </t>
  </si>
  <si>
    <t xml:space="preserve">10 OSCO/CLKO/AN6/RP33/RB1(2,4) </t>
  </si>
  <si>
    <t>11 OA2OUT/AN1/AN7/ANA0/CMP1D/CMP2A/CMP3D/RP34/INT0/RB2</t>
  </si>
  <si>
    <t xml:space="preserve">12 PGD2/OA2IN-/AN8/RP35/RB3 </t>
  </si>
  <si>
    <t xml:space="preserve">13 PGC2/OA2IN+/RP36/RB4 </t>
  </si>
  <si>
    <t xml:space="preserve">14 PGD3/RP37/SDA2/RB5 </t>
  </si>
  <si>
    <t>15 PGC3/RP38/SCL2/RB6</t>
  </si>
  <si>
    <t>16 TDO/AN2/CMP3A/RP39/RB7</t>
  </si>
  <si>
    <t>17 PGD1/AN10/RP40/SCL1/RB8</t>
  </si>
  <si>
    <t>18 PGC1/AN11/RP41/SDA1/RB9</t>
  </si>
  <si>
    <t>19 VSS</t>
  </si>
  <si>
    <t>20 VDD</t>
  </si>
  <si>
    <t>21 TMS/RP42/PWM3H/RB10(3)</t>
  </si>
  <si>
    <t>22 TCK/RP43/PWM3L/RB11</t>
  </si>
  <si>
    <t>23 TDI/RP44/PWM2H/RB12</t>
  </si>
  <si>
    <t>24 RP45/PWM2L/RB13</t>
  </si>
  <si>
    <t>25 RP46/PWM1H/RB14</t>
  </si>
  <si>
    <t>26 RP47/PWM1L/RB15</t>
  </si>
  <si>
    <t>27 MCLR</t>
  </si>
  <si>
    <t>28 OA1OUT/AN0/CMP1A/IBIAS0/RA0</t>
  </si>
  <si>
    <t>Import List dsPIC33CKxxMP102</t>
  </si>
  <si>
    <t>Import List dsPIC33CKxxMP103</t>
  </si>
  <si>
    <t>Import List dsPIC33CKxxMP105</t>
  </si>
  <si>
    <t>Import List dsPIC33CKxxMP202/502</t>
  </si>
  <si>
    <t>Import List dsPIC33CKxxMP203/503</t>
  </si>
  <si>
    <t>Import List dsPIC33CKxxMP205/505</t>
  </si>
  <si>
    <t>Import List dsPIC33CKxxMP208/508</t>
  </si>
  <si>
    <t>Import List dsPIC33CKxxMP306/606</t>
  </si>
  <si>
    <t>5 OA1OUT/AN0/CMP1A/IBIAS0/RA0</t>
  </si>
  <si>
    <t xml:space="preserve">8 DACOUT/AN3/CMP1C/RA3 </t>
  </si>
  <si>
    <t>12 OA3IN-/AN13/CMP1B/ISRC0/RP49/RC1</t>
  </si>
  <si>
    <t xml:space="preserve">19 OA2OUT/AN1/AN7/ANA0/CMP1D/CMP2D/CMP3D/RP34/INT0/RB2 </t>
  </si>
  <si>
    <t xml:space="preserve">20 PGD2/OA2IN-/AN8/RP35/RB3 </t>
  </si>
  <si>
    <t xml:space="preserve">21 PGC2/OA2IN+/RP36/RB4 </t>
  </si>
  <si>
    <t xml:space="preserve">22 VSS </t>
  </si>
  <si>
    <t xml:space="preserve">23 VDD </t>
  </si>
  <si>
    <t xml:space="preserve">24 PGD3/RP37/SDA2/RB5 </t>
  </si>
  <si>
    <t xml:space="preserve">25 PGC3/RP38/SCL2/RB6 </t>
  </si>
  <si>
    <t xml:space="preserve">26 TDO/AN2/CMP3A/RP39/RB7 </t>
  </si>
  <si>
    <t xml:space="preserve">27 PGD1/AN10/RP40/SCL1/RB8 </t>
  </si>
  <si>
    <t xml:space="preserve">28 PGC1/AN11/RP41/SDA1/RB9 </t>
  </si>
  <si>
    <t xml:space="preserve">29 RP52/ASDA2/RC4 </t>
  </si>
  <si>
    <t xml:space="preserve">30 RP53/ASCL2/RC5 </t>
  </si>
  <si>
    <t xml:space="preserve">31 VSS </t>
  </si>
  <si>
    <t xml:space="preserve">32 VDD </t>
  </si>
  <si>
    <t xml:space="preserve">33 TMS/RP42/PWM3H/RB10(3) </t>
  </si>
  <si>
    <t xml:space="preserve">34 TCK/RP43/PWM3L/RB11 </t>
  </si>
  <si>
    <t xml:space="preserve">35 TDI/RP44/PWM2H/RB12 </t>
  </si>
  <si>
    <t>18 OSCO/CLKO/AN6/RP33/RB1</t>
  </si>
  <si>
    <t xml:space="preserve">3 RP60/RC12 </t>
  </si>
  <si>
    <t xml:space="preserve">4 RP61/RC13 </t>
  </si>
  <si>
    <t xml:space="preserve">11 DACOUT/AN3/CMP1C/RA3 </t>
  </si>
  <si>
    <t xml:space="preserve">22 OSCO/CLKO/AN6/RP33/RB1(2,4) </t>
  </si>
  <si>
    <t xml:space="preserve">25 OA2OUT/AN1/AN7/ANA0/CMP1D/CMP2D/CMP3D/RP34/INT0/RB2 </t>
  </si>
  <si>
    <t xml:space="preserve">26 PGD2/OA2IN-/AN8/RP35/RB3 </t>
  </si>
  <si>
    <t xml:space="preserve">27 PGC2/OA2IN+/RP36/RB4 </t>
  </si>
  <si>
    <t xml:space="preserve">28 RP56/ASDA1/SCK2/RC8(2) </t>
  </si>
  <si>
    <t xml:space="preserve">29 RP57/ASCL1/SDI2/RC9(2) </t>
  </si>
  <si>
    <t xml:space="preserve">30 RP72/SDO2/PCI19/RD8(2) </t>
  </si>
  <si>
    <t xml:space="preserve">33 PGD3/RP37/SDA2/RB5 </t>
  </si>
  <si>
    <t xml:space="preserve">34 PGC3/RP38/SCL2/RB6 </t>
  </si>
  <si>
    <t xml:space="preserve">35 TDO/AN2/CMP3A/RP39/RB7 </t>
  </si>
  <si>
    <t xml:space="preserve">36 PGD1/AN10/RP40/SCL1/RB8 </t>
  </si>
  <si>
    <t xml:space="preserve">37 PGC1/AN11/RP41/SDA1/RB9 </t>
  </si>
  <si>
    <t xml:space="preserve">38 RP52/ASDA2/RC4 </t>
  </si>
  <si>
    <t xml:space="preserve">39 RP53/ASCL2/RC5 </t>
  </si>
  <si>
    <t xml:space="preserve">40 RP58/RC10 </t>
  </si>
  <si>
    <t xml:space="preserve">41 RP59/RC11 </t>
  </si>
  <si>
    <t xml:space="preserve">42 VSS </t>
  </si>
  <si>
    <t xml:space="preserve">43 VDD </t>
  </si>
  <si>
    <t xml:space="preserve">44 RP65/PWM4H/RD1 </t>
  </si>
  <si>
    <t xml:space="preserve">45 TMS/RP42/PWM3H/RB10(3) </t>
  </si>
  <si>
    <t xml:space="preserve">46 TCK/RP43/PWM3L/RB11 </t>
  </si>
  <si>
    <t xml:space="preserve">47 TDI/RP44/PWM2H/RB12 </t>
  </si>
  <si>
    <t>1.0.7</t>
  </si>
  <si>
    <t>Ara</t>
  </si>
  <si>
    <t>Sagitta</t>
  </si>
  <si>
    <t xml:space="preserve">2 RP47/PWM1L/PMD6/RB15 </t>
  </si>
  <si>
    <t xml:space="preserve">3 RP60/PWM8H/PMD7/RC12 </t>
  </si>
  <si>
    <t xml:space="preserve">4 RP61/PWM8L/PMA5/RC13 </t>
  </si>
  <si>
    <t xml:space="preserve">5 RP62/PWM6H/PMA4/RC14 </t>
  </si>
  <si>
    <t xml:space="preserve">6 RP63/PWM6L/PMA3/RC15 </t>
  </si>
  <si>
    <t xml:space="preserve">7 MCLR </t>
  </si>
  <si>
    <t xml:space="preserve">8 RP79/PCI22/PMA2/RD15 </t>
  </si>
  <si>
    <t xml:space="preserve">9 VSS </t>
  </si>
  <si>
    <t xml:space="preserve">10 VDD </t>
  </si>
  <si>
    <t xml:space="preserve">11 RP78/PCI21/RD14 </t>
  </si>
  <si>
    <t xml:space="preserve">12 ANN2/RP77/RD13 </t>
  </si>
  <si>
    <t xml:space="preserve">13 AN12/ANN0/RP48/RC0 </t>
  </si>
  <si>
    <t xml:space="preserve">14 OA1OUT/AN0/CMP1A/IBIAS0/RA0 </t>
  </si>
  <si>
    <t xml:space="preserve">15 OA1IN-/ANA1/RA1 </t>
  </si>
  <si>
    <t xml:space="preserve">16 OA1IN+/AN9/PMA6/RA2 </t>
  </si>
  <si>
    <t xml:space="preserve">17 DACOUT1/AN3/CMP1C/RA3 </t>
  </si>
  <si>
    <t xml:space="preserve">18 OA3OUT/AN4/CMP3B/IBIAS3/RA4 </t>
  </si>
  <si>
    <t xml:space="preserve">19 AVDD </t>
  </si>
  <si>
    <t xml:space="preserve">20 AVss </t>
  </si>
  <si>
    <t xml:space="preserve">21 RP76/RD12 </t>
  </si>
  <si>
    <t xml:space="preserve">22 OA3IN-/AN13/CMP1B/ISRC0/RP49/PMA7/RC1 </t>
  </si>
  <si>
    <t xml:space="preserve">23 OA3IN+/AN14/CMP2B/ISRC1/RP50/PMD13/PMA13/RC2 </t>
  </si>
  <si>
    <t xml:space="preserve">24 AN17/ANN1/IBIAS1/RP54/PMD12/PMA12/RC6 </t>
  </si>
  <si>
    <t xml:space="preserve">25 VDD </t>
  </si>
  <si>
    <t xml:space="preserve">26 VSS </t>
  </si>
  <si>
    <t xml:space="preserve">27 AN15/CMP2A/IBIAS2/RP51/PMD11/PMA11/RC3 </t>
  </si>
  <si>
    <t xml:space="preserve">28 OSCI/CLKI/AN5/RP32/PMD10/PMA10/RB0 </t>
  </si>
  <si>
    <t xml:space="preserve">29 OSCO/CLKO/AN6/RP33/PMA1/PMALH/PSA1/RB1(3) </t>
  </si>
  <si>
    <t xml:space="preserve">30 AN19/CMP2C/RP75/PMA0/PMALL/PSA0/RD11 </t>
  </si>
  <si>
    <t xml:space="preserve">31 AN18/CMP3C/ISRC3/RP74/PMD9/PMA9/RD10 </t>
  </si>
  <si>
    <t xml:space="preserve">32 AN16/ISRC2/RP55/PMD8/PMA8/RC7 </t>
  </si>
  <si>
    <t>33 OA2OUT/AN1/AN7/ANA0/CMP1D/CMP2D/CMP3D/RP34/SCL3/INT0/RB2</t>
  </si>
  <si>
    <t>34 PGD2/OA2IN-/AN8/RP35/RB3</t>
  </si>
  <si>
    <t>35 PGC2/OA2IN+/RP36/RB4</t>
  </si>
  <si>
    <t>36 RP56/ASDA1/SCK2/RC8</t>
  </si>
  <si>
    <t>37 RP57/ASCL1/SDI2/RC9</t>
  </si>
  <si>
    <t>38 RP73/PCI20/RD9</t>
  </si>
  <si>
    <t>39 RP72/SDO2/PCI19/RD8</t>
  </si>
  <si>
    <t>40 VSS</t>
  </si>
  <si>
    <t>41 VDD</t>
  </si>
  <si>
    <t>42 RP71/PMD15/RD7</t>
  </si>
  <si>
    <t>43 RP70/PMD14/RD6</t>
  </si>
  <si>
    <t>44 RP69/PMA15/PMCS2/RD5</t>
  </si>
  <si>
    <t>45 PGD3/RP37/SDA2/PMA14/PMCS1/PSCS/RB5</t>
  </si>
  <si>
    <t>46 PGC3/RP38/SCL2/RB6</t>
  </si>
  <si>
    <t>47 TDO/AN2/CMP3A/RP39/SDA3/RB7</t>
  </si>
  <si>
    <t>48 PGD1/AN10/RP40/SCL1/RB8</t>
  </si>
  <si>
    <t>49 PGC1/AN11/RP41/SDA1/RB9</t>
  </si>
  <si>
    <t>50 RP52/PWM5H/ASDA2/RC4</t>
  </si>
  <si>
    <t>51 RP53/PWM5L/ASCL2/PMWR/PMENB/PSWR/RC5</t>
  </si>
  <si>
    <t>52 RP58/PWM7H/PMRD/PMWR/PSRD/RC10</t>
  </si>
  <si>
    <t>53 RP59/PWM7L/RC11</t>
  </si>
  <si>
    <t>54 RP68/ASDA3/RD4</t>
  </si>
  <si>
    <t>55 RP67/ASCL3/RD3</t>
  </si>
  <si>
    <t>56 VSS</t>
  </si>
  <si>
    <t>57 VDD</t>
  </si>
  <si>
    <t>58 RP66/RD2</t>
  </si>
  <si>
    <t>59 RP65/PWM4H/RD1</t>
  </si>
  <si>
    <t>60 RP64/PWM4L/PMD0/RD0</t>
  </si>
  <si>
    <t>61 TMS/RP42/PWM3H/PMD1/RB10(2)</t>
  </si>
  <si>
    <t>62 TCK/RP43/PWM3L/PMD2/RB11</t>
  </si>
  <si>
    <t>63 TDI/RP44/PWM2H/PMD3/RB12</t>
  </si>
  <si>
    <t>64 RP45/PWM2L/PMD4/RB13</t>
  </si>
  <si>
    <t xml:space="preserve">6 ANN4/CMP5B/RP77/RD13 </t>
  </si>
  <si>
    <t xml:space="preserve">11 DACOUT1/AN27/AN3/CMP1C/RA3 </t>
  </si>
  <si>
    <t>12 OA3OUT/AN4/ANB1/ANB2/CMP3B/IBIAS3/RA4</t>
  </si>
  <si>
    <t>15 OA3IN-/AN13/CMP1B/ISRC0/RP49/RC1</t>
  </si>
  <si>
    <t>16 OA3IN+/AN14/CMP2B/ISRC1/RP50/RC2</t>
  </si>
  <si>
    <t>17 AN17/ANN1/CMP4B/IBIAS1/RP54/RC6</t>
  </si>
  <si>
    <t>18 VDD 42 VSS</t>
  </si>
  <si>
    <t>19 VSS 43 VDD</t>
  </si>
  <si>
    <t>20 AN15/ANN2/CMP2A/IBIAS2/RP51/RC3</t>
  </si>
  <si>
    <t>23 AN18/ANC2/CMP3C/ISRC3/RP74/RD10</t>
  </si>
  <si>
    <t>24 DACOUT2/AN16/CMP4C/ISRC2/RP55/RC7</t>
  </si>
  <si>
    <t>25 OA2OUT/AN1/AN7/ANA0/ANA2/ANA3/CMP1D/CMP2D/CMP3D/CMP4D/CMP5D/CMP6D/RP34/SCL3/INT0/RB2</t>
  </si>
  <si>
    <t>26 PGD2/OA2IN-/AN8/CMP4A/RP35/RB3</t>
  </si>
  <si>
    <t>35 TDO/AN2/AN26/CMP3A/RP39/SDA3/RB7</t>
  </si>
  <si>
    <t>36 PGD1/AN10/CMP6A/RP40/SCL1/RB8</t>
  </si>
  <si>
    <t xml:space="preserve">12 ANN4/CMP5B/RP77/RD13 </t>
  </si>
  <si>
    <t xml:space="preserve">17 DACOUT1/AN27/AN3/CMP1C/RA3 </t>
  </si>
  <si>
    <t>18 OA3OUT/AN4/ANB1/ANB2/CMP3B/IBIAS3/RA4</t>
  </si>
  <si>
    <t xml:space="preserve">20 AVSS </t>
  </si>
  <si>
    <t>22 OA3IN-/AN13/CMP1B/ISRC0/RP49/PMA7/RC1</t>
  </si>
  <si>
    <t>23 OA3IN+/AN14/CMP2B/ISRC1/RP50/PMD13/PMA13/RC2</t>
  </si>
  <si>
    <t>24 AN17/ANN1/CMP4B/IBIAS1/RP54/PMD12/PMA12/RC6</t>
  </si>
  <si>
    <t>27 AN15/ANN2/CMP2A/IBIAS2/RP51/PMD11/PMA11/RC3</t>
  </si>
  <si>
    <t>28 OSCI/CLKI/AN5/RP32/PMD10/PMA10/RB0</t>
  </si>
  <si>
    <t>29 OSCO/CLKO/AN6/RP33/PMA1/PMALH/PSA1/RB1(2)</t>
  </si>
  <si>
    <t>30 AN19/ANB0/CMP2C/RP75/PMA0/PMALL/PSA0/RD11</t>
  </si>
  <si>
    <t>31 AN18/ANC2/CMP3C/ISRC3/RP74/PMD9/PMA9/RD10</t>
  </si>
  <si>
    <t>32 DACOUT2/AN16/CMP4C/ISRC2/RP55/PMD8/PMA8/RC7</t>
  </si>
  <si>
    <t>33 OA2OUT/AN1/AN7/ANA0/ANA2/ANA3/CMP1D/CMP2D/CMP3D/CMP4D/CMP5D/CMP6D/RP34/SCL3/INT0/RB2</t>
  </si>
  <si>
    <t>34 PGD2/OA2IN-/AN8/CMP4A/RP35/RB3</t>
  </si>
  <si>
    <t>47 TDO/AN2/AN26/CMP3A/RP39/SDA3/RB7</t>
  </si>
  <si>
    <t>48 PGD1/AN10/CMP6A/RP40/SCL1/RB8</t>
  </si>
  <si>
    <t>49 PGC1/AN11/CMP5A/RP41/SDA1/RB9</t>
  </si>
  <si>
    <t>61 TMS/RP42/PWM3H/PMD1/RB10(1)</t>
  </si>
  <si>
    <t>1 RP46/PWM1H/PMD5/RB14</t>
  </si>
  <si>
    <t>41 OA2OUT/AN1/AN7/ANA0/ANA2/ANA3/CMP1D/CMP2D/CMP3D/CMP4D/CMP5D/CMP6D/RP34/SCL3/INT0/RB2</t>
  </si>
  <si>
    <t>2 AN20/ANC0/CMP5C/RE0</t>
  </si>
  <si>
    <t>3 RP47/PWM1L/PMD6/RB15</t>
  </si>
  <si>
    <t>43 PGD2/OA2IN-/AN8/CMP4A/RP35/RB3</t>
  </si>
  <si>
    <t>4 AN21/ANC1/CMP6B/RE1</t>
  </si>
  <si>
    <t>5 RP60/PWM8H/PMD7/RC12</t>
  </si>
  <si>
    <t>6 RP61/PWM8L/PMA5/RC13</t>
  </si>
  <si>
    <t>7 RP62/PWM6H/PMA4/RC14</t>
  </si>
  <si>
    <t>8 RP63/PWM6L/PMA3/RC15</t>
  </si>
  <si>
    <t>9 MCLR</t>
  </si>
  <si>
    <t>10 RP79/PCI22/PMA2/RD15</t>
  </si>
  <si>
    <t>11 VSS</t>
  </si>
  <si>
    <t>12 VDD</t>
  </si>
  <si>
    <t>13 RP78/PCI21/RD14</t>
  </si>
  <si>
    <t>14 ANN4/CMP5B/RP77/RD13</t>
  </si>
  <si>
    <t>15 AN12/ANN0/RP48/RC0</t>
  </si>
  <si>
    <t>16 OA1OUT/AN0/CMP1A/IBIAS0/RA0</t>
  </si>
  <si>
    <t>17 AN22/ANB3/CMP6C/RE2</t>
  </si>
  <si>
    <t>18 OA1IN-/ANA1/RA1</t>
  </si>
  <si>
    <t>58 TDO/AN2/AN26/CMP3A/RP39/SDA3/RB7</t>
  </si>
  <si>
    <t>19 AN23/ANN3/RE3</t>
  </si>
  <si>
    <t>20 OA1IN+/AN9/PMA6/RA2</t>
  </si>
  <si>
    <t>60 PGD1/AN10/CMP6A/RP40/SCL1/RB8</t>
  </si>
  <si>
    <t>21 DACOUT1/AN27/AN3/CMP1C/RA3</t>
  </si>
  <si>
    <t>61 PGC1/AN11/CMP5A/RP41/SDA1/RB9</t>
  </si>
  <si>
    <t>23 OA3OUT/AN4/ANB1/ANB2/CMP3B/IBIAS3/RA4</t>
  </si>
  <si>
    <t>24 RE5</t>
  </si>
  <si>
    <t>25 AVDD</t>
  </si>
  <si>
    <t>26 AVSS</t>
  </si>
  <si>
    <t>27 RP76/RD12</t>
  </si>
  <si>
    <t>28 OA3IN-/AN13/CMP1B/ISRC0/RP49/PMA7/RC1</t>
  </si>
  <si>
    <t>29 OA3IN+/AN14/CMP2B/ISRC1/RP50/PMD13/PMA13/RC2</t>
  </si>
  <si>
    <t>30 AN17/ANN1/CMP4B/IBIAS1/RP54/PMD12/PMA12/RC6</t>
  </si>
  <si>
    <t>31 VDD</t>
  </si>
  <si>
    <t>32 VSS</t>
  </si>
  <si>
    <t>33 AN15/ANN2/CMP2A/IBIAS2/RP51/PMD11/PMA11/RC3</t>
  </si>
  <si>
    <t>34 OSCI/CLKI/AN5/RP32/PMD10/PMA10/RB0</t>
  </si>
  <si>
    <t>35 OSCO/CLKO/AN6/RP33/PMA1/PMALH/PSA1/RB1(2)</t>
  </si>
  <si>
    <t>75 TMS/RP42/PWM3H/PMD1/RB10(1)</t>
  </si>
  <si>
    <t>36 AN19/ANB0/CMP2C/RP75/PMA0/PMALL/PSA0/RD11</t>
  </si>
  <si>
    <t>37 RE6</t>
  </si>
  <si>
    <t>38 AN18/ANC2/CMP3C/ISRC3/RP74/PMD9/PMA9/RD10</t>
  </si>
  <si>
    <t>39 RE7</t>
  </si>
  <si>
    <t>40 DACOUT2/AN16/CMP4C/ISRC2/RP55/PMD8/PMA8/RC7</t>
  </si>
  <si>
    <t xml:space="preserve">22 OSCO/CLKO/AN6/RP33/RB1(2) </t>
  </si>
  <si>
    <t>45 TMS/RP42/PWM3H/RB10(1)</t>
  </si>
  <si>
    <t>37 PGC1/AN11/CMP5A/RP41/SDA1/RB9</t>
  </si>
  <si>
    <t>SagittaP</t>
  </si>
  <si>
    <t>OctansP</t>
  </si>
  <si>
    <t>SagittaPP</t>
  </si>
  <si>
    <t xml:space="preserve">1 RE4 </t>
  </si>
  <si>
    <t>2 OA3OUT/AN4/ANB1/ANB2/CMP3B/IBIAS3/RA4</t>
  </si>
  <si>
    <t xml:space="preserve">3 RE5 </t>
  </si>
  <si>
    <t xml:space="preserve">4 AVDD </t>
  </si>
  <si>
    <t xml:space="preserve">5 AVSS </t>
  </si>
  <si>
    <t xml:space="preserve">6 RP76/RD12 </t>
  </si>
  <si>
    <t>7 OA3IN-/AN13/CMP1B/ISRC0/RP49/RC1</t>
  </si>
  <si>
    <t>57 N/C</t>
  </si>
  <si>
    <t>8 OA3IN+/AN14/CMP2B/ISRC1/RP50/RC2</t>
  </si>
  <si>
    <t>58 N/C</t>
  </si>
  <si>
    <t>9 AN17/ANN1/CMP4B/IBIAS1/RP54/RC6</t>
  </si>
  <si>
    <t>59 N/C</t>
  </si>
  <si>
    <t>10 VDD</t>
  </si>
  <si>
    <t>60 N/C</t>
  </si>
  <si>
    <t>61 N/C</t>
  </si>
  <si>
    <t>12 AN15/ANN2/CMP2A/IBIAS2/RP51/RC3</t>
  </si>
  <si>
    <t>62 N/C</t>
  </si>
  <si>
    <t>13 OSCI/CLKI/AN5/RP32/RB0</t>
  </si>
  <si>
    <t>63 N/C</t>
  </si>
  <si>
    <t>14 OSCO/CLKO/AN6/RP33/RB1(2)</t>
  </si>
  <si>
    <t>64 VSS</t>
  </si>
  <si>
    <t>15 AN19/ANB0/CMP2C/RP75/RD11</t>
  </si>
  <si>
    <t>65 VDD</t>
  </si>
  <si>
    <t>16 RE6</t>
  </si>
  <si>
    <t>66 N/C</t>
  </si>
  <si>
    <t>17 AN18/ANC2/CMP3C/ISRC3/RP74/RD10</t>
  </si>
  <si>
    <t>67 N/C</t>
  </si>
  <si>
    <t>18 RE7</t>
  </si>
  <si>
    <t>68 N/C</t>
  </si>
  <si>
    <t>19 DACOUT2/AN16/CMP4C/ISRC2/RP55/RC7</t>
  </si>
  <si>
    <t>69 VSS</t>
  </si>
  <si>
    <t>20 OA2OUT/AN1/AN7/ANA0/ANA2/ANA3/CMP1D/CMP2D/CMP3D/CMP4D/CMP5D/CMP6D/RP34/SCL3/INT0/RB2</t>
  </si>
  <si>
    <t>70 VDD</t>
  </si>
  <si>
    <t>21 RE8</t>
  </si>
  <si>
    <t>71 RP66/RD2</t>
  </si>
  <si>
    <t>22 PGD2/OA2IN-/AN8/CMP4A/RP35/RB3</t>
  </si>
  <si>
    <t>72 RP65/PWM4H/RD1</t>
  </si>
  <si>
    <t>23 RE9</t>
  </si>
  <si>
    <t>73 RP64/PWM4L/RD0</t>
  </si>
  <si>
    <t>24 PGC2/OA2IN+/RP36/RB4</t>
  </si>
  <si>
    <t>74 TMS/RP42/PWM3H/RB10(1)</t>
  </si>
  <si>
    <t>25 RP56/ASDA1/SCK2/RC8</t>
  </si>
  <si>
    <t>75 TCK/RP43/PWM3L/RB11</t>
  </si>
  <si>
    <t>26 RP57/ASCL1/SDI2/RC9</t>
  </si>
  <si>
    <t>76 RE14</t>
  </si>
  <si>
    <t>27 RP73/PCI20/RD9</t>
  </si>
  <si>
    <t>77 TDI/RP44/PWM2H/RB12</t>
  </si>
  <si>
    <t>28 RP72/SDO2/PCI19/RD8</t>
  </si>
  <si>
    <t>78 RE15</t>
  </si>
  <si>
    <t>29 VSS</t>
  </si>
  <si>
    <t>79 RP45/PWM2L/RB13</t>
  </si>
  <si>
    <t>30 VDD</t>
  </si>
  <si>
    <t>80 RP46/PWM1H/RB14</t>
  </si>
  <si>
    <t>31 RP71/RD7</t>
  </si>
  <si>
    <t>81 AN20/ANC0/CMP5C/RE0</t>
  </si>
  <si>
    <t>32 RP70/RD6</t>
  </si>
  <si>
    <t>82 RP47/PWM1L/RB15</t>
  </si>
  <si>
    <t>33 RP69/RD5</t>
  </si>
  <si>
    <t>83 AN21/ANC1/CMP6B/RE1</t>
  </si>
  <si>
    <t>34 PGD3/RP37/SDA2/RB5</t>
  </si>
  <si>
    <t>84 RP60/PWM8H/RC12</t>
  </si>
  <si>
    <t>35 PGC3/RP38/SCL2/RB6</t>
  </si>
  <si>
    <t>85 RP61/PWM8L/RC13</t>
  </si>
  <si>
    <t>36 RE10</t>
  </si>
  <si>
    <t>86 RP62/PWM6H/RC14</t>
  </si>
  <si>
    <t>37 TDO/AN2/AN26/CMP3A/RP39/SDA3/RB7</t>
  </si>
  <si>
    <t>87 RP63/PWM6L/RC15</t>
  </si>
  <si>
    <t>38 RE11</t>
  </si>
  <si>
    <t>88 MCLR</t>
  </si>
  <si>
    <t>39 PGD1/AN10/CMP6A/RP40/SCL1/RB8</t>
  </si>
  <si>
    <t>89 RP79/PCI22/RD15</t>
  </si>
  <si>
    <t>40 PGC1/AN11/CMP5A/RP41/SDA1/RB9</t>
  </si>
  <si>
    <t>90 VSS</t>
  </si>
  <si>
    <t>41 N/C</t>
  </si>
  <si>
    <t>91 VDD</t>
  </si>
  <si>
    <t>42 N/C</t>
  </si>
  <si>
    <t>92 RP78/PCI21/RD14</t>
  </si>
  <si>
    <t>43 VSS</t>
  </si>
  <si>
    <t>93 ANN4/CMP5B/RP77/RD13</t>
  </si>
  <si>
    <t>44 VDD</t>
  </si>
  <si>
    <t>94 AN12/ANN0/RP48/RC0</t>
  </si>
  <si>
    <t>45 N/C</t>
  </si>
  <si>
    <t>95 OA1OUT/AN0/CMP1A/IBIAS0/RA0</t>
  </si>
  <si>
    <t>46 N/C</t>
  </si>
  <si>
    <t>96 AN22/ANB3/CMP6C/RE2</t>
  </si>
  <si>
    <t>47 N/C</t>
  </si>
  <si>
    <t>97 OA1IN-/ANA1/RA1</t>
  </si>
  <si>
    <t>48 N/C</t>
  </si>
  <si>
    <t>98 AN23/ANN3/RE3</t>
  </si>
  <si>
    <t>49 N/C</t>
  </si>
  <si>
    <t>99 OA1IN+/AN9/RA2</t>
  </si>
  <si>
    <t>50 N/C</t>
  </si>
  <si>
    <t>100 DACOUT1/AN27/AN3/CMP1C/RA3</t>
  </si>
  <si>
    <t>52 MCLR</t>
  </si>
  <si>
    <t>53 N/C</t>
  </si>
  <si>
    <t>51 N/C</t>
  </si>
  <si>
    <t>54 N/C</t>
  </si>
  <si>
    <t>55 N/C</t>
  </si>
  <si>
    <t>56 N/C</t>
  </si>
  <si>
    <t>1 RP46/PWM1H/RB14</t>
  </si>
  <si>
    <t>2 RP47/PWM1L/RB15</t>
  </si>
  <si>
    <t>3 RP60/PWM8H/RC12</t>
  </si>
  <si>
    <t>4 RP61/PWM8L/RC13</t>
  </si>
  <si>
    <t>5 MCLR</t>
  </si>
  <si>
    <t>6 ANN4/CMP5B/RP77/RD13</t>
  </si>
  <si>
    <t>7 AN12/ANN0/RP48/RC0</t>
  </si>
  <si>
    <t>8 OA1OUT/AN0/CMP1A/IBIAS0/RA0</t>
  </si>
  <si>
    <t>9 OA1IN-/ANA1/RA1</t>
  </si>
  <si>
    <t>10 OA1IN+/AN9/RA2</t>
  </si>
  <si>
    <t>11 DACOUT1/AN3/AN31/CMP1C/RA3</t>
  </si>
  <si>
    <t>35 TDO/AN2/AN30/CMP3A/RP39/SDA3/RB7</t>
  </si>
  <si>
    <t>13 AVDD</t>
  </si>
  <si>
    <t>14 AVSS</t>
  </si>
  <si>
    <t>18 VDD</t>
  </si>
  <si>
    <t>21 OSCI/CLKI/AN5/RP32/RB0</t>
  </si>
  <si>
    <t>22 OSCO/CLKO/AN6/RP33/RB1(2)</t>
  </si>
  <si>
    <t>Import List dsPIC33CKxxMP408/708</t>
  </si>
  <si>
    <t>Import List dsPIC33CKxxMP406/706</t>
  </si>
  <si>
    <t>Import List dsPIC33CKxxMP405/705</t>
  </si>
  <si>
    <t>Import List dsPIC33CKxxMP308/608</t>
  </si>
  <si>
    <t>Import List dsPIC33CKxxMP305/605</t>
  </si>
  <si>
    <t>Import List dsPIC33CKxxMP206/506</t>
  </si>
  <si>
    <t>2 RP47/PWM1L/PMD6/RB15</t>
  </si>
  <si>
    <t>3 RP60/PWM8H/PMD7/RC12</t>
  </si>
  <si>
    <t>4 RP61/PWM8L/PMA5/RC13</t>
  </si>
  <si>
    <t>5 RP62/PWM6H/PMA4/RC14</t>
  </si>
  <si>
    <t>6 RP63/PWM6L/PMA3/RC15</t>
  </si>
  <si>
    <t>7 MCLR</t>
  </si>
  <si>
    <t>8 RP79/PCI22/PMA2/RD15</t>
  </si>
  <si>
    <t>9 VSS</t>
  </si>
  <si>
    <t>11 RP78/PCI21/RD14</t>
  </si>
  <si>
    <t>12 ANN4/CMP5B/RP77/RD13</t>
  </si>
  <si>
    <t>13 AN12/ANN0/RP48/RC0</t>
  </si>
  <si>
    <t>14 OA1OUT/AN0/CMP1A/IBIAS0/RA0</t>
  </si>
  <si>
    <t>15 OA1IN-/ANA1/RA1</t>
  </si>
  <si>
    <t>47 TDO/AN2/AN30/CMP3A/RP39/SDA3/RB7</t>
  </si>
  <si>
    <t>16 OA1IN+/AN9/PMA6/RA2</t>
  </si>
  <si>
    <t>17 DACOUT1/AN3/AN31/CMP1C/RA3</t>
  </si>
  <si>
    <t>19 AVDD</t>
  </si>
  <si>
    <t>20 AVSS</t>
  </si>
  <si>
    <t>21 RP76/RD12</t>
  </si>
  <si>
    <t>25 VDD</t>
  </si>
  <si>
    <t>26 VSS</t>
  </si>
  <si>
    <t>58 TDO/AN2/AN30/CMP3A/RP39/SDA3/RB7</t>
  </si>
  <si>
    <t>21 DACOUT1/AN3/AN31/CMP1C/RA3</t>
  </si>
  <si>
    <t>51 OA2OUT/AN1/AN7/ANA0/ANA2/ANA3/CMP1D/CMP2D/CMP3D/CMP4D/CMP5D/CMP6D/RP34/SCL3/INT0/RB2</t>
  </si>
  <si>
    <t>52 RE8</t>
  </si>
  <si>
    <t>53 RP90/RF10</t>
  </si>
  <si>
    <t>54 PGD2/OA2IN-/AN8/CMP4A/RP35/RB3</t>
  </si>
  <si>
    <t>5 RP80/RF0</t>
  </si>
  <si>
    <t>55 RE9</t>
  </si>
  <si>
    <t>6 RP60/PWM8H/PMD7/RC12</t>
  </si>
  <si>
    <t>56 RP91/RF11</t>
  </si>
  <si>
    <t>7 RP61/PWM8L/PMA5/RC13</t>
  </si>
  <si>
    <t>57 PGC2/OA2IN+/RP36/RB4</t>
  </si>
  <si>
    <t>8 RP62/PWM6H/PMA4/RC14</t>
  </si>
  <si>
    <t>58 RP56/ASDA1/SCK2/RC8</t>
  </si>
  <si>
    <t>9 RP63/PWM6L/PMA3/RC15</t>
  </si>
  <si>
    <t>59 RP57/ASCL1/SDI2/RC9</t>
  </si>
  <si>
    <t>10 MCLR</t>
  </si>
  <si>
    <t>60 RP92/RF12</t>
  </si>
  <si>
    <t>11 RP79/PCI22/PMA2/RD15</t>
  </si>
  <si>
    <t>61 RP73/PCI20/RD9</t>
  </si>
  <si>
    <t>12 RP81/RF1</t>
  </si>
  <si>
    <t>62 RP72/SDO2/PCI19/RD8</t>
  </si>
  <si>
    <t>13 VSS</t>
  </si>
  <si>
    <t>63 VSS</t>
  </si>
  <si>
    <t>14 VDD</t>
  </si>
  <si>
    <t>64 VDD</t>
  </si>
  <si>
    <t>15 RP78/PCI21/RD14</t>
  </si>
  <si>
    <t>65 RP71/PMD15/RD7</t>
  </si>
  <si>
    <t>16 ANN4/CMP5B/RP77/RD13</t>
  </si>
  <si>
    <t>66 RP70/PMD14/RD6</t>
  </si>
  <si>
    <t>17 AN12/ANN0/RP48/RC0</t>
  </si>
  <si>
    <t>67 RP69/PMA15/PMCS2/RD5</t>
  </si>
  <si>
    <t>18 OA1OUT/AN0/CMP1A/IBIAS0/RA0</t>
  </si>
  <si>
    <t>68 PGD3/RP37/SDA2/PMA14/PMCS1/PSCS/RB5</t>
  </si>
  <si>
    <t>19 AN22/ANB3/CMP6C/RE2</t>
  </si>
  <si>
    <t>69 PGC3/RP38/SCL2/RB6</t>
  </si>
  <si>
    <t>20 RP82/RF2</t>
  </si>
  <si>
    <t>70 RE10</t>
  </si>
  <si>
    <t>21 OA1IN-/ANA1/RA1</t>
  </si>
  <si>
    <t>71 RP93/APWM4H/RF13</t>
  </si>
  <si>
    <t>22 AN23/ANN3/RE3</t>
  </si>
  <si>
    <t>72 TDO/AN2/AN30/CMP3A/RP39/SDA3/RB7</t>
  </si>
  <si>
    <t>23 RP83/RF3</t>
  </si>
  <si>
    <t>73 APWM4L/RE11</t>
  </si>
  <si>
    <t>24 OA1IN+/AN9/PMA6/RA2</t>
  </si>
  <si>
    <t>74 RP94/APWM3H/RF14</t>
  </si>
  <si>
    <t>25 RP84/RF4</t>
  </si>
  <si>
    <t>75 PGD1/AN10/CMP6A/RP40/SCL1/RB8</t>
  </si>
  <si>
    <t>26 RP85/RF5</t>
  </si>
  <si>
    <t>76 RP95/APWM3L/RF15</t>
  </si>
  <si>
    <t>27 DACOUT1/AN3/AN31/CMP1C/RA3</t>
  </si>
  <si>
    <t>77 PGC1/AN11/CMP5A/RP41/SDA1/RB9</t>
  </si>
  <si>
    <t>28 RE4</t>
  </si>
  <si>
    <t>78 APWM2H/RE12</t>
  </si>
  <si>
    <t>29 AN24/RP86/RF6</t>
  </si>
  <si>
    <t>79 RP96/APWM2L/RA5</t>
  </si>
  <si>
    <t>30 OA3OUT/AN4/ANB1/ANB2/CMP3B/IBIAS3/RA4</t>
  </si>
  <si>
    <t>80 RP52/PWM5H/ASDA2/RC4</t>
  </si>
  <si>
    <t>31 RE5</t>
  </si>
  <si>
    <t>81 RE13</t>
  </si>
  <si>
    <t>32 AN25/RP87/RF7</t>
  </si>
  <si>
    <t>82 RP53/PWM5L/ASCL2/PMWR/PMENB/PSWR/RC5</t>
  </si>
  <si>
    <t>33 AVDD</t>
  </si>
  <si>
    <t>83 RP58/PWM7H/PMRD/PMWR/PSRD/RC10</t>
  </si>
  <si>
    <t>34 AVSS</t>
  </si>
  <si>
    <t>84 RP59/PWM7L/RC11</t>
  </si>
  <si>
    <t>35 RP76/RD12</t>
  </si>
  <si>
    <t>85 RP68/ASDA3/RD4</t>
  </si>
  <si>
    <t>36 OA3IN-/AN13/CMP1B/ISRC0/RP49/PMA7/RC1</t>
  </si>
  <si>
    <t>86 RP67/ASCL3/RD3</t>
  </si>
  <si>
    <t>37 OA3IN+/AN14/CMP2B/ISRC1/RP50/PMD13/PMA13/RC2</t>
  </si>
  <si>
    <t>87 VSS</t>
  </si>
  <si>
    <t>38 AN17/ANN1/CMP4B/IBIAS1/RP54/PMD12/PMA12/RC6</t>
  </si>
  <si>
    <t>88 VDD</t>
  </si>
  <si>
    <t>39 VDD</t>
  </si>
  <si>
    <t>89 RP66/RD2</t>
  </si>
  <si>
    <t>90 RP65/PWM4H/RD1</t>
  </si>
  <si>
    <t>41 AN15/ANN2/CMP2A/IBIAS2/RP51/PMD11/PMA11/RC3</t>
  </si>
  <si>
    <t>91 RP64/PWM4L/PMD0/RD0</t>
  </si>
  <si>
    <t>42 OSCI/CLKI/AN5/RP32/PMD10/PMA10/RB0</t>
  </si>
  <si>
    <t>92 TMS/RP42/PWM3H/PMD1/RB10(1)</t>
  </si>
  <si>
    <t>43 OSCO/CLKO/AN6/RP33/PMA1/PMALH/PSA1/RB1(2)</t>
  </si>
  <si>
    <t>93 TCK/RP43/PWM3L/PMD2/RB11</t>
  </si>
  <si>
    <t>44 AN19/ANB0/CMP2C/RP75/PMA0/PMALL/PSA0/RD11</t>
  </si>
  <si>
    <t>94 RE14</t>
  </si>
  <si>
    <t>45 RE6</t>
  </si>
  <si>
    <t>95 RP97/APWM1H/RA6</t>
  </si>
  <si>
    <t>46 AN26/RP88/RF8</t>
  </si>
  <si>
    <t>96 RP98/APWM1L/RA7</t>
  </si>
  <si>
    <t>47 AN18/ANC2/CMP3C/ISRC3/RP74/PMD9/PMA9/RD10</t>
  </si>
  <si>
    <t>97 TDI/RP44/PWM2H/PMD3/RB12</t>
  </si>
  <si>
    <t>48 RE7</t>
  </si>
  <si>
    <t>98 RE15</t>
  </si>
  <si>
    <t>49 RP89/RF9</t>
  </si>
  <si>
    <t>99 RP99/RA8</t>
  </si>
  <si>
    <t>50 DACOUT2/AN16/CMP4C/ISRC2/RP55/PMD8/PMA8/RC7</t>
  </si>
  <si>
    <t>100 RP45/PWM2L/PMD4/RB13</t>
  </si>
  <si>
    <t>RF0</t>
  </si>
  <si>
    <t>RF1</t>
  </si>
  <si>
    <t>RF2</t>
  </si>
  <si>
    <t>RF3</t>
  </si>
  <si>
    <t>RF4</t>
  </si>
  <si>
    <t>RF5</t>
  </si>
  <si>
    <t>RF6</t>
  </si>
  <si>
    <t>RF7</t>
  </si>
  <si>
    <t>RF8</t>
  </si>
  <si>
    <t>RF9</t>
  </si>
  <si>
    <t>RF10</t>
  </si>
  <si>
    <t>RF11</t>
  </si>
  <si>
    <t>RF12</t>
  </si>
  <si>
    <t>RF13</t>
  </si>
  <si>
    <t>RF14</t>
  </si>
  <si>
    <t>RF15</t>
  </si>
  <si>
    <t>RA5</t>
  </si>
  <si>
    <t>RA6</t>
  </si>
  <si>
    <t>RA7</t>
  </si>
  <si>
    <t>RA8</t>
  </si>
  <si>
    <t>1 AN1/RA1</t>
  </si>
  <si>
    <t>2 AN2/RA2</t>
  </si>
  <si>
    <t>3 AN3/IBIAS0/RA3</t>
  </si>
  <si>
    <t>4 AN4/IBIAS1/RA4</t>
  </si>
  <si>
    <t>5 AVDD</t>
  </si>
  <si>
    <t>6 AVSS</t>
  </si>
  <si>
    <t>7 VDD</t>
  </si>
  <si>
    <t>8 VSS</t>
  </si>
  <si>
    <t>9 OSCI/CLKI/AN5/RP32/RB0</t>
  </si>
  <si>
    <t>10 OSCO/CLKO/AN6/IBIAS2/RP33/RB1(2)</t>
  </si>
  <si>
    <t>11 DACOUT1/AN7/CMP1D/RP34/INT0/RB2</t>
  </si>
  <si>
    <t>12 PGD2/AN8/RP35/RB3</t>
  </si>
  <si>
    <t>13 PGC2/RP36/RB4</t>
  </si>
  <si>
    <t>14 PGD3/RP37/SDA2/RB5</t>
  </si>
  <si>
    <t>16 TDO/AN9/RP39/RB7</t>
  </si>
  <si>
    <t>21 TMS/RP42/PWM3H/RB10(1)</t>
  </si>
  <si>
    <t>28 AN0/CMP1A/RA0</t>
  </si>
  <si>
    <t>GeminiM</t>
  </si>
  <si>
    <t>GeminiS</t>
  </si>
  <si>
    <t>SagittariusM</t>
  </si>
  <si>
    <t>SagittariusS</t>
  </si>
  <si>
    <t>1 S1AN15/S1RA1</t>
  </si>
  <si>
    <t>2 S1AN16/S1RA2</t>
  </si>
  <si>
    <t>3 S1AN0/S1CMP1A/S1PGA1P1/S1RA3</t>
  </si>
  <si>
    <t>4 S1MCLR3/S1AN1/S1CMP2A/S1PGA2P1/S1PGA3P2/S1RA4</t>
  </si>
  <si>
    <t>9 S1AN5/S1RP32/S1RB0</t>
  </si>
  <si>
    <t>10 S1AN4/S1RP33/S1RB1(2)</t>
  </si>
  <si>
    <t>11 S1MCLR2/S1AN3/S1ANC0/S1ANC1/S1CMP1D/S1CMP2D/S1CMP3D/S1RP34/S1INT0/S1RB2</t>
  </si>
  <si>
    <t>12 S1PGD2/S1AN18/S1CMP3A/S1PGA3P1/S1RP35/S1RB3</t>
  </si>
  <si>
    <t>13 S1PGC2/S1AN9/S1RP36/S1PWM5L/S1RB4</t>
  </si>
  <si>
    <t>14 S1PGD3/S1RP37/S1RB5</t>
  </si>
  <si>
    <t>15 S1PGC3/S1RP38/S1RB6</t>
  </si>
  <si>
    <t>16 S1MCLR1/S1AN6/S1RP39/S1PWM5H/S1RB7</t>
  </si>
  <si>
    <t>17 S1PGD1/S1AN7/S1RP40/S1SCL1/S1RB8</t>
  </si>
  <si>
    <t>18 S1PGC1/S1RP41/S1SDA1/S1RB9</t>
  </si>
  <si>
    <t>21 S1RP42/S1PWM3H/S1RB10(1)</t>
  </si>
  <si>
    <t>22 S1RP43/S1PWM8H/S1PWM3L/S1RB11</t>
  </si>
  <si>
    <t>23 S1RP44/S1PWM2H/S1RB12</t>
  </si>
  <si>
    <t>24 S1RP45/S1PWM7H/S1PWM2L/S1RB13</t>
  </si>
  <si>
    <t>25 S1RP46/S1PWM1H/S1RB14</t>
  </si>
  <si>
    <t>26 S1RP47/S1PWM6H/S1PWM1L/S1RB15</t>
  </si>
  <si>
    <t>27 —</t>
  </si>
  <si>
    <t>28 S1RA0</t>
  </si>
  <si>
    <t>4 AN12/IBIAS3/RP48/RC0</t>
  </si>
  <si>
    <t>5 AN0/CMP1A/RA0</t>
  </si>
  <si>
    <t>6 AN1/RA1</t>
  </si>
  <si>
    <t>7 AN2/RA2</t>
  </si>
  <si>
    <t>8 AN3/IBIAS0/RA3</t>
  </si>
  <si>
    <t>9 AN4/IBIAS1/RA4</t>
  </si>
  <si>
    <t>10 AVDD</t>
  </si>
  <si>
    <t>11 AVSS</t>
  </si>
  <si>
    <t>12 AN13/ISRC0/RP49/RC1</t>
  </si>
  <si>
    <t>13 AN14/ISRC1/RP50/RC2</t>
  </si>
  <si>
    <t>15 VSS</t>
  </si>
  <si>
    <t>16 CMP1B/RP51/RC3</t>
  </si>
  <si>
    <t>17 OSCI/CLKI/AN5/RP32/RB0</t>
  </si>
  <si>
    <t>18 OSCO/CLKO/AN6/IBIAS2/RP33/RB1(2)</t>
  </si>
  <si>
    <t>19 DACOUT1/AN7/CMP1D/RP34/INT0/RB2</t>
  </si>
  <si>
    <t>20 PGD2/AN8/RP35/RB3</t>
  </si>
  <si>
    <t>21 PGC2/RP36/RB4</t>
  </si>
  <si>
    <t>24 PGD3/RP37/SDA2/RB5</t>
  </si>
  <si>
    <t>25 PGC3/RP38/SCL2/RB6</t>
  </si>
  <si>
    <t>26 TDO/AN9/RP39/RB7</t>
  </si>
  <si>
    <t>29 RP52/RC4</t>
  </si>
  <si>
    <t>30 RP53/RC5</t>
  </si>
  <si>
    <t>33 TMS/RP42/PWM3H/RB10(1)</t>
  </si>
  <si>
    <t>3 MCLR</t>
  </si>
  <si>
    <t>1 S1RP46/S1PWM1H/S1RB14</t>
  </si>
  <si>
    <t>2 S1RP47/S1PWM6H/S1PWM1L/S1RB15</t>
  </si>
  <si>
    <t>3 —</t>
  </si>
  <si>
    <t>4 S1AN10/S1RP48/S1RC0</t>
  </si>
  <si>
    <t>5 S1RA0</t>
  </si>
  <si>
    <t>6 S1AN15/S1RA1</t>
  </si>
  <si>
    <t>7 S1AN16/S1RA2</t>
  </si>
  <si>
    <t>8 S1AN0/S1CMP1A/S1PGA1P1/S1RA3</t>
  </si>
  <si>
    <t>9 S1MCLR3/S1AN1/S1CMP2A/S1PGA2P1/S1PGA3P2/S1RA4</t>
  </si>
  <si>
    <t>12 S1ANA1/S1RP49/S1RC1</t>
  </si>
  <si>
    <t>13 S1ANA0/S1RP50/S1RC2</t>
  </si>
  <si>
    <t>16 S1AN8/S1CMP3B/S1RP51/S1RC3</t>
  </si>
  <si>
    <t>17 S1AN5/S1RP32/S1RB0</t>
  </si>
  <si>
    <t>18 S1AN4/S1RP33/S1RB1(2)</t>
  </si>
  <si>
    <t>19 S1MCLR2/S1AN3/S1ANC0/S1ANC1/S1CMP1D/S1CMP2D/S1CMP3D/S1RP34/S1INT0/S1RB2</t>
  </si>
  <si>
    <t>20 S1PGD2/S1AN18/S1CMP3A/S1PGA3P1/S1RP35/S1RB3</t>
  </si>
  <si>
    <t>21 S1PGC2/S1AN9/S1RP36/S1PWM5L/S1RB4</t>
  </si>
  <si>
    <t>24 S1PGD3/S1RP37/S1RB5</t>
  </si>
  <si>
    <t>25 S1PGC3/S1RP38/S1RB6</t>
  </si>
  <si>
    <t>26 S1MCLR1/S1AN6/S1RP39/S1PWM5H/S1RB7</t>
  </si>
  <si>
    <t>27 S1PGD1/S1AN7/S1RP40/S1SCL1/S1RB8</t>
  </si>
  <si>
    <t>28 S1PGC1/S1RP41/S1SDA1/S1RB9</t>
  </si>
  <si>
    <t>29 S1RP52/S1PWM2H/S1RC4</t>
  </si>
  <si>
    <t>30 S1RP53/S1PWM2L/S1RC5</t>
  </si>
  <si>
    <t>33 S1RP42/S1PWM3H/S1RB10(1)</t>
  </si>
  <si>
    <t>34 S1RP43/S1PWM8H/S1PWM3L/S1RB11</t>
  </si>
  <si>
    <t>35 S1RP44/S1PWM7L/S1RB12</t>
  </si>
  <si>
    <t>36 S1RP45/S1PWM7H/S1RB13</t>
  </si>
  <si>
    <t>Import List dsPIC33CH64/128MP202/502 Main Core</t>
  </si>
  <si>
    <t>Import List dsPIC33CH64/128MP203/503 Main Core</t>
  </si>
  <si>
    <t>Import List dsPIC33CH64/128MP205/505 Main Core</t>
  </si>
  <si>
    <t>Import List dsPIC33CH64/128MP206/506 Main Core</t>
  </si>
  <si>
    <t>Import List dsPIC33CH64/128MP208/508 Main Core</t>
  </si>
  <si>
    <t>Import List dsPIC33CH64/128MP208/508 Secondary Core</t>
  </si>
  <si>
    <t>Import List dsPIC33CH64/128MP206/506 Secondary Core</t>
  </si>
  <si>
    <t>Import List dsPIC33CH64/128MP205/505 Secondary Core</t>
  </si>
  <si>
    <t>Import List dsPIC33CH64/128MP203/503 Secondary Core</t>
  </si>
  <si>
    <t>Import List dsPIC33CH64/128MP202/502 Secondary Core</t>
  </si>
  <si>
    <t>16 AN14/ISRC1/RP50/RC2</t>
  </si>
  <si>
    <t>17 RP54/RC6</t>
  </si>
  <si>
    <t>20 CMP1B/RP51/RC3</t>
  </si>
  <si>
    <t>22 OSCO/CLKO/AN6/IBIAS2/RP33/RB1(2)</t>
  </si>
  <si>
    <t>23 ISRC3/RD10</t>
  </si>
  <si>
    <t>24 AN15/ISRC2/RP55/RC7</t>
  </si>
  <si>
    <t>25 DACOUT1/AN7/CMP1D/RP34/INT0/RB2</t>
  </si>
  <si>
    <t>26 PGD2/AN8/RP35/RB3</t>
  </si>
  <si>
    <t>27 PGC2/RP36/RB4</t>
  </si>
  <si>
    <t>30 SDO2/PCI19/RD8</t>
  </si>
  <si>
    <t>33 PGD3/RP37/SDA2/RB5</t>
  </si>
  <si>
    <t>34 PGC3/RP38/SCL2/RB6</t>
  </si>
  <si>
    <t>35 TDO/AN9/RP39/RB7</t>
  </si>
  <si>
    <t>38 RP52/RC4</t>
  </si>
  <si>
    <t>39 RP53/RC5</t>
  </si>
  <si>
    <t>40 RP58/RC10</t>
  </si>
  <si>
    <t>41 RP59/RC11</t>
  </si>
  <si>
    <t>44 RP65/RD1</t>
  </si>
  <si>
    <t>3 RP60/RC12</t>
  </si>
  <si>
    <t>4 RP61/RC13</t>
  </si>
  <si>
    <t>6 RD13</t>
  </si>
  <si>
    <t>7 AN12/IBIAS3/RP48/RC0</t>
  </si>
  <si>
    <t>8 AN0/CMP1A/RA0</t>
  </si>
  <si>
    <t>9 AN1/RA1</t>
  </si>
  <si>
    <t>10 AN2/RA2</t>
  </si>
  <si>
    <t>11 AN3/IBIAS0/RA3</t>
  </si>
  <si>
    <t>12 AN4/IBIAS1/RA4</t>
  </si>
  <si>
    <t>15 AN13/ISRC0/RP49/RC1</t>
  </si>
  <si>
    <t>1 S1RP46/S1PWM6L/S1RB14</t>
  </si>
  <si>
    <t>2 S1RP47/S1PWM6H/S1RB15</t>
  </si>
  <si>
    <t>3 S1RP60/S1PWM3H/S1RC12</t>
  </si>
  <si>
    <t>4 S1RP61/S1PWM3L/S1RC13</t>
  </si>
  <si>
    <t>5 —</t>
  </si>
  <si>
    <t>6 S1ANN0/S1PGA1N2/S1RD13</t>
  </si>
  <si>
    <t>7 S1AN10/S1RP48/S1RC0</t>
  </si>
  <si>
    <t>8 S1RA0</t>
  </si>
  <si>
    <t>9 S1AN15/S1RA1</t>
  </si>
  <si>
    <t>10 S1AN16/S1RA2</t>
  </si>
  <si>
    <t>11 S1AN0/S1CMP1A/S1PGA1P1/S1RA3</t>
  </si>
  <si>
    <t>12 S1MCLR3/S1AN1/S1CMP2A/S1PGA2P1/S1PGA3P2/S1RA4</t>
  </si>
  <si>
    <t>15 S1ANA1/S1RP49/S1RC1</t>
  </si>
  <si>
    <t>16 S1ANA0/S1RP50/S1RC2</t>
  </si>
  <si>
    <t>17 S1AN11/S1CMP1B/S1RP54/S1RC6</t>
  </si>
  <si>
    <t>20 S1AN8/S1CMP3B/S1RP51/S1RC3</t>
  </si>
  <si>
    <t>21 S1AN5/S1RP32/S1RB0</t>
  </si>
  <si>
    <t>22 S1AN4/S1RP33/S1RB1(2)</t>
  </si>
  <si>
    <t>23 S1AN13/S1CMP2B/S1RD10</t>
  </si>
  <si>
    <t>24 S1AN12/S1RP55/S1RC7</t>
  </si>
  <si>
    <t>25 S1MCLR2/S1AN3/S1ANC0/S1ANC1/S1CMP1D/S1CMP2D/S1CMP3D/S1RP34/S1INT0/S1RB2</t>
  </si>
  <si>
    <t>26 S1PGD2/S1AN18/S1CMP3A/S1PGA3P1/S1RP35/S1RB3</t>
  </si>
  <si>
    <t>27 S1PGC2/S1AN9/S1RP36/S1PWM5L/S1RB4</t>
  </si>
  <si>
    <t>28 S1RP56/S1ASDA1/S1SCK1/S1RC8</t>
  </si>
  <si>
    <t>29 S1RP57/S1ASCL1/S1SDI1/S1RC9</t>
  </si>
  <si>
    <t>30 S1SDO1/S1PCI19/S1RD8</t>
  </si>
  <si>
    <t>33 S1PGD3/S1RP37/S1RB5</t>
  </si>
  <si>
    <t>34 S1PGC3/S1RP38/S1RB6</t>
  </si>
  <si>
    <t>35 S1MCLR1/S1AN6/S1RP39/S1PWM5H/S1RB7</t>
  </si>
  <si>
    <t>36 S1PGD1/S1AN7/S1RP40/S1SCL1/S1RB8</t>
  </si>
  <si>
    <t>37 S1PGC1/S1RP41/S1SDA1/S1RB9</t>
  </si>
  <si>
    <t>38 S1RP52/S1PWM2H/S1RC4</t>
  </si>
  <si>
    <t>39 S1RP53/S1PWM2L/S1RC5</t>
  </si>
  <si>
    <t>40 S1RP58/S1PWM1H/S1RC10</t>
  </si>
  <si>
    <t>41 S1RP59/S1PWM1L/S1RC11</t>
  </si>
  <si>
    <t>44 S1RP65/S1PWM4H/S1RD1</t>
  </si>
  <si>
    <t>45 S1RP42/S1PWM8L/S1RB10(1)</t>
  </si>
  <si>
    <t>46 S1RP43/S1PWM8H/S1RB11</t>
  </si>
  <si>
    <t>47 S1RP44/S1PWM7L/S1RB12</t>
  </si>
  <si>
    <t>48 S1RP45/S1PWM7H/S1RB13</t>
  </si>
  <si>
    <t>3 RP60/PWM4H/RC12</t>
  </si>
  <si>
    <t>4 RP61/PWM4L/RC13</t>
  </si>
  <si>
    <t>5 RP62/RC14</t>
  </si>
  <si>
    <t>6 RP63/RC15</t>
  </si>
  <si>
    <t>8 PCI22/RD15</t>
  </si>
  <si>
    <t>11 PCI21/RD14</t>
  </si>
  <si>
    <t>12 RD13</t>
  </si>
  <si>
    <t>13 AN12/IBIAS3/RP48/RC0</t>
  </si>
  <si>
    <t>14 AN0/CMP1A/RA0</t>
  </si>
  <si>
    <t>15 AN1/RA1</t>
  </si>
  <si>
    <t>16 AN2/RA2</t>
  </si>
  <si>
    <t>17 AN3/IBIAS0/RA3</t>
  </si>
  <si>
    <t>18 AN4/IBIAS1/RA4</t>
  </si>
  <si>
    <t>21 RD12</t>
  </si>
  <si>
    <t>22 AN13/ISRC0/RP49/RC1</t>
  </si>
  <si>
    <t>23 AN14/ISRC1/RP50/RC2</t>
  </si>
  <si>
    <t>24 RP54/RC6</t>
  </si>
  <si>
    <t>27 CMP1B/RP51/RC3</t>
  </si>
  <si>
    <t>28 OSCI/CLKI/AN5/RP32/RB0</t>
  </si>
  <si>
    <t>29 OSCO/CLKO/AN6/IBIAS2/RP33/RB1(2)</t>
  </si>
  <si>
    <t>30 RD11</t>
  </si>
  <si>
    <t>31 ISRC3/RD10</t>
  </si>
  <si>
    <t>32 AN15/ISRC2/RP55/RC7</t>
  </si>
  <si>
    <t>33 DACOUT1/AN7/CMP1D/RP34/INT0/RB2</t>
  </si>
  <si>
    <t>34 PGD2/AN8/RP35/RB3</t>
  </si>
  <si>
    <t>35 PGC2/RP36/RB4</t>
  </si>
  <si>
    <t>38 PCI20/RD9</t>
  </si>
  <si>
    <t>39 SDO2/PCI19/RD8</t>
  </si>
  <si>
    <t>42 RP71/RD7</t>
  </si>
  <si>
    <t>43 RP70/RD6</t>
  </si>
  <si>
    <t>44 RP69/RD5</t>
  </si>
  <si>
    <t>45 PGD3/RP37/SDA2/RB5</t>
  </si>
  <si>
    <t>47 TDO/AN9/RP39/RB7</t>
  </si>
  <si>
    <t>50 RP52/RC4</t>
  </si>
  <si>
    <t>51 RP53/RC5</t>
  </si>
  <si>
    <t>52 RP58/RC10</t>
  </si>
  <si>
    <t>53 RP59/RC11</t>
  </si>
  <si>
    <t>54 RP68/RD4</t>
  </si>
  <si>
    <t>55 RP67/RD3</t>
  </si>
  <si>
    <t>59 RP65/RD1</t>
  </si>
  <si>
    <t>60 RP64/RD0</t>
  </si>
  <si>
    <t>61 TMS/RP42/PWM3H/RB10(1)</t>
  </si>
  <si>
    <t>62 TCK/RP43/PWM3L/RB11</t>
  </si>
  <si>
    <t>63 TDI/RP44/PWM2H/RB12</t>
  </si>
  <si>
    <t>64 RP45/PWM2L/RB13</t>
  </si>
  <si>
    <t>1 S1RP46/S1RB14</t>
  </si>
  <si>
    <t>2 S1RP47/S1RB15</t>
  </si>
  <si>
    <t>3 S1RP60/S1RC12</t>
  </si>
  <si>
    <t>4 S1RP61/S1RC13</t>
  </si>
  <si>
    <t>5 S1RP62/S1PWM7H/S1RC14</t>
  </si>
  <si>
    <t>6 S1RP63/S1PWM7L/S1RC15</t>
  </si>
  <si>
    <t>7 —</t>
  </si>
  <si>
    <t>8 S1PCI22/S1RD15</t>
  </si>
  <si>
    <t>11 S1ANN1/S1PGA2N2/S1PCI21/S1RD14</t>
  </si>
  <si>
    <t>12 S1ANN0/S1PGA1N2/S1RD13</t>
  </si>
  <si>
    <t>13 S1AN10/S1RP48/S1RC0</t>
  </si>
  <si>
    <t>14 S1RA0</t>
  </si>
  <si>
    <t>15 S1AN15/S1RA1</t>
  </si>
  <si>
    <t>16 S1AN16/S1RA2</t>
  </si>
  <si>
    <t>17 S1AN0/S1CMP1A/S1PGA1P1/S1RA3</t>
  </si>
  <si>
    <t>18 S1MCLR3/S1AN1/S1CMP2A/S1PGA2P1/S1PGA3P2/S1RA4</t>
  </si>
  <si>
    <t>21 S1AN14/S1PGA2P2/S1RD12</t>
  </si>
  <si>
    <t>22 S1ANA1/S1RP49/S1RC1</t>
  </si>
  <si>
    <t>23 S1ANA0/S1RP50/S1RC2</t>
  </si>
  <si>
    <t>24 S1AN11/S1CMP1B/S1RP54/S1RC6</t>
  </si>
  <si>
    <t>27 S1AN8/S1CMP3B/S1RP51/S1RC3</t>
  </si>
  <si>
    <t>28 S1AN5/S1RP32/S1RB0</t>
  </si>
  <si>
    <t>29 S1AN4/S1RP33/S1RB1(2)</t>
  </si>
  <si>
    <t>30 S1AN17/S1PGA1P2/S1RD11</t>
  </si>
  <si>
    <t>31 S1AN13/S1CMP2B/S1RD10</t>
  </si>
  <si>
    <t>32 S1AN12/S1RP55/S1RC7</t>
  </si>
  <si>
    <t>33 S1MCLR2/S1AN3/S1ANC0/S1ANC1/S1CMP1D/S1CMP2D/S1CMP3D/S1RP34/S1INT0/S1RB2</t>
  </si>
  <si>
    <t>34 S1PGD2/S1AN18/S1CMP3A/S1PGA3P1/S1RP35/S1RB3</t>
  </si>
  <si>
    <t>35 S1PGC2/S1AN9/S1RP36/S1PWM5L/S1RB4</t>
  </si>
  <si>
    <t>36 S1RP56/S1ASDA1/S1SCK1/S1RC8</t>
  </si>
  <si>
    <t>37 S1RP57/S1ASCL1/S1SDI1/S1RC9</t>
  </si>
  <si>
    <t>38 S1PCI20/S1RD9</t>
  </si>
  <si>
    <t>39 S1SDO1/S1PCI19/S1RD8</t>
  </si>
  <si>
    <t>42 S1RP71/S1PWM8H/S1RD7</t>
  </si>
  <si>
    <t>43 S1RP70/S1PWM6H/S1RD6</t>
  </si>
  <si>
    <t>44 S1RP69/S1PWM6L/S1RD5</t>
  </si>
  <si>
    <t>45 S1PGD3/S1RP37/S1RB5</t>
  </si>
  <si>
    <t>46 S1PGC3/S1RP38/S1RB6</t>
  </si>
  <si>
    <t>47 S1MCLR1/S1AN6/S1RP39/S1PWM5H/S1RB7</t>
  </si>
  <si>
    <t>48 S1PGD1/S1AN7/S1RP40/S1SCL1/S1RB8</t>
  </si>
  <si>
    <t>49 S1PGC1/S1RP41/S1SDA1/S1RB9</t>
  </si>
  <si>
    <t>50 S1RP52/S1PWM2H/S1RC4</t>
  </si>
  <si>
    <t>51 S1RP53/S1PWM2L/S1RC5</t>
  </si>
  <si>
    <t>52 S1RP58/S1PWM1H/S1RC10</t>
  </si>
  <si>
    <t>53 S1RP59/S1PWM1L/S1RC11</t>
  </si>
  <si>
    <t>54 S1RP68/S1PWM3H/S1RD4</t>
  </si>
  <si>
    <t>55 S1RP67/S1PWM3L/S1RD3</t>
  </si>
  <si>
    <t>58 S1RP66/S1PWM8L/S1RD2</t>
  </si>
  <si>
    <t>59 S1RP65/S1PWM4H/S1RD1</t>
  </si>
  <si>
    <t>60 S1RP64/S1PWM4L/S1RD0</t>
  </si>
  <si>
    <t>61 S1RP42/S1RB10(1)</t>
  </si>
  <si>
    <t>62 S1RP43/S1RB11</t>
  </si>
  <si>
    <t>63 S1RP44/S1RB12</t>
  </si>
  <si>
    <t>64 S1RP45/S1RB13</t>
  </si>
  <si>
    <t>2 RE0</t>
  </si>
  <si>
    <t>3 RP47/PWM1L/RB15</t>
  </si>
  <si>
    <t>4 RE1</t>
  </si>
  <si>
    <t>5 RP60/PWM4H/RC12</t>
  </si>
  <si>
    <t>6 RP61/PWM4L/RC13</t>
  </si>
  <si>
    <t>7 RP62/RC14</t>
  </si>
  <si>
    <t>8 RP63/RC15</t>
  </si>
  <si>
    <t>10 PCI22/RD15</t>
  </si>
  <si>
    <t>13 PCI21/RD14</t>
  </si>
  <si>
    <t>14 RD13</t>
  </si>
  <si>
    <t>15 AN12/IBIAS3/RP48/RC0</t>
  </si>
  <si>
    <t>16 AN0/CMP1A/RA0</t>
  </si>
  <si>
    <t>17 RE2</t>
  </si>
  <si>
    <t>18 AN1/RA1</t>
  </si>
  <si>
    <t>19 RE3</t>
  </si>
  <si>
    <t>20 AN2/RA2</t>
  </si>
  <si>
    <t>21 AN3/IBIAS0/RA3</t>
  </si>
  <si>
    <t>23 AN4/IBIAS1/RA4</t>
  </si>
  <si>
    <t>27 RD12</t>
  </si>
  <si>
    <t>28 AN13/ISRC0/RP49/RC1</t>
  </si>
  <si>
    <t>29 AN14/ISRC1/RP50/RC2</t>
  </si>
  <si>
    <t>30 RP54/RC6</t>
  </si>
  <si>
    <t>33 CMP1B/RP51/RC3</t>
  </si>
  <si>
    <t>34 OSCI/CLKI/AN5/RP32/RB0</t>
  </si>
  <si>
    <t>35 OSCO/CLKO/AN6/IBIAS2/RP33/RB1(2)</t>
  </si>
  <si>
    <t>36 RD11</t>
  </si>
  <si>
    <t>38 ISRC3/RD10</t>
  </si>
  <si>
    <t>40 AN15/ISRC2/RP55/RC7</t>
  </si>
  <si>
    <t>41 DACOUT1/AN7/CMP1D/RP34/INT0/RB2</t>
  </si>
  <si>
    <t>43 PGD2/AN8/RP35/RB3</t>
  </si>
  <si>
    <t>45 PGC2/RP36/RB4</t>
  </si>
  <si>
    <t>48 PCI20/RD9</t>
  </si>
  <si>
    <t>49 SDO2/PCI19/RD8</t>
  </si>
  <si>
    <t>52 RP71/RD7</t>
  </si>
  <si>
    <t>53 RP70/RD6</t>
  </si>
  <si>
    <t>54 RP69/RD5</t>
  </si>
  <si>
    <t>55 PGD3/RP37/SDA2/RB5</t>
  </si>
  <si>
    <t>58 TDO/AN9/RP39/RB7</t>
  </si>
  <si>
    <t>62 ASCL2/RE12</t>
  </si>
  <si>
    <t>63 RP52/RC4</t>
  </si>
  <si>
    <t>64 ASDA2/RE13</t>
  </si>
  <si>
    <t>65 RP53/RC5</t>
  </si>
  <si>
    <t>66 RP58/RC10</t>
  </si>
  <si>
    <t>67 RP59/RC11</t>
  </si>
  <si>
    <t>68 RP68/RD4</t>
  </si>
  <si>
    <t>69 RP67/RD3</t>
  </si>
  <si>
    <t>73 RP65/RD1</t>
  </si>
  <si>
    <t>74 RP64/RD0</t>
  </si>
  <si>
    <t>75 TMS/RP42/PWM3H/RB10(1)</t>
  </si>
  <si>
    <t>76 TCK/RP43/PWM3L/RB11</t>
  </si>
  <si>
    <t>78 TDI/RP44/PWM2H/RB12</t>
  </si>
  <si>
    <t>80 RP45/PWM2L/RB13</t>
  </si>
  <si>
    <t>2 S1RE0</t>
  </si>
  <si>
    <t>3 S1RP47/S1RB15</t>
  </si>
  <si>
    <t>4 S1RE1</t>
  </si>
  <si>
    <t>5 S1RP60/S1RC12</t>
  </si>
  <si>
    <t>6 S1RP61/S1RC13</t>
  </si>
  <si>
    <t>7 S1RP62/S1PWM7H/S1RC14</t>
  </si>
  <si>
    <t>8 S1RP63/S1PWM7L/S1RC15</t>
  </si>
  <si>
    <t>9 —</t>
  </si>
  <si>
    <t>10 S1PCI22/S1RD15</t>
  </si>
  <si>
    <t>13 S1ANN1/S1PGA2N2/S1PCI21/S1RD14</t>
  </si>
  <si>
    <t>14 S1ANN0/S1PGA1N2/S1RD13</t>
  </si>
  <si>
    <t>15 S1AN10/S1RP48/S1RC0</t>
  </si>
  <si>
    <t>16 S1RA0</t>
  </si>
  <si>
    <t>17 S1RE2</t>
  </si>
  <si>
    <t>18 S1AN15/S1RA1</t>
  </si>
  <si>
    <t>19 S1RE3</t>
  </si>
  <si>
    <t>20 S1AN16/S1RA2</t>
  </si>
  <si>
    <t>21 S1AN0/S1CMP1A/S1PGA1P1/S1RA3</t>
  </si>
  <si>
    <t>22 S1RE4</t>
  </si>
  <si>
    <t>23 S1MCLR3/S1AN1/S1CMP2A/S1PGA2P1/S1PGA3P2/S1RA4</t>
  </si>
  <si>
    <t>24 S1RE5</t>
  </si>
  <si>
    <t>27 S1AN14/S1PGA2P2/S1RD12</t>
  </si>
  <si>
    <t>28 S1ANA1/S1RP49/S1RC1</t>
  </si>
  <si>
    <t>29 S1ANA0/S1RP50/S1RC2</t>
  </si>
  <si>
    <t>30 S1AN11/S1CMP1B/S1RP54/S1RC6</t>
  </si>
  <si>
    <t>33 S1AN8/S1CMP3B/S1RP51/S1RC3</t>
  </si>
  <si>
    <t>34 S1AN5/S1RP32/S1RB0</t>
  </si>
  <si>
    <t>35 S1AN4/S1RP33/S1RB1(2)</t>
  </si>
  <si>
    <t>36 S1AN17/S1PGA1P2/S1RD11</t>
  </si>
  <si>
    <t>37 S1PGA3N2/S1RE6</t>
  </si>
  <si>
    <t>38 S1AN13/S1CMP2B/S1RD10</t>
  </si>
  <si>
    <t>39 S1RE7</t>
  </si>
  <si>
    <t>40 S1AN12/S1RP55/S1RC7</t>
  </si>
  <si>
    <t>41 S1MCLR2/S1AN3/S1ANC0/S1ANC1/S1CMP1D/S1CMP2D/S1CMP3D/S1RP34/S1INT0/S1RB2</t>
  </si>
  <si>
    <t>42 S1RE8</t>
  </si>
  <si>
    <t>43 S1PGD2/S1AN18/S1CMP3A/S1PGA3P1/S1RP35/S1RB3</t>
  </si>
  <si>
    <t>44 S1RE9</t>
  </si>
  <si>
    <t>45 S1PGC2/S1AN9/S1RP36/S1PWM5L/S1RB4</t>
  </si>
  <si>
    <t>46 S1RP56/S1ASDA1/S1SCK1/S1RC8</t>
  </si>
  <si>
    <t>47 S1RP57/S1ASCL1/S1SDI1/S1RC9</t>
  </si>
  <si>
    <t>48 S1PCI20/S1RD9</t>
  </si>
  <si>
    <t>49 S1SDO1/S1PCI19/S1RD8</t>
  </si>
  <si>
    <t>52 S1RP71/S1PWM8H/S1RD7</t>
  </si>
  <si>
    <t>53 S1RP70/S1PWM6H/S1RD6</t>
  </si>
  <si>
    <t>54 S1RP69/S1PWM6L/S1RD5</t>
  </si>
  <si>
    <t>55 S1PGD3/S1RP37/S1RB5</t>
  </si>
  <si>
    <t>56 S1PGC3/S1RP38/S1RB6</t>
  </si>
  <si>
    <t>57 S1RE10</t>
  </si>
  <si>
    <t>58 S1MCLR1/S1AN6/S1RP39/S1PWM5H/S1RB7</t>
  </si>
  <si>
    <t>59 S1RE11</t>
  </si>
  <si>
    <t>60 S1PGD1/S1AN7/S1RP40/S1SCL1/S1RB8</t>
  </si>
  <si>
    <t>61 S1PGC1/S1RP41/S1SDA1/S1RB9</t>
  </si>
  <si>
    <t>62 S1RE12</t>
  </si>
  <si>
    <t>63 S1RP52/S1PWM2H/S1RC4</t>
  </si>
  <si>
    <t>64 S1RE13</t>
  </si>
  <si>
    <t>65 S1RP53/S1PWM2L/S1RC5</t>
  </si>
  <si>
    <t>66 S1RP58/S1PWM1H/S1RC10</t>
  </si>
  <si>
    <t>67 S1RP59/S1PWM1L/S1RC11</t>
  </si>
  <si>
    <t>68 S1RP68/S1PWM3H/S1RD4</t>
  </si>
  <si>
    <t>69 S1RP67/S1PWM3L/S1RD3</t>
  </si>
  <si>
    <t>72 S1RP66/S1PWM8L/S1RD2</t>
  </si>
  <si>
    <t>73 S1RP65/S1PWM4H/S1RD1</t>
  </si>
  <si>
    <t>74 S1RP64/S1PWM4L/S1RD0</t>
  </si>
  <si>
    <t>75 S1RP42/S1RB10(1)</t>
  </si>
  <si>
    <t>76 S1RP43/S1RB11</t>
  </si>
  <si>
    <t>77 S1RE14</t>
  </si>
  <si>
    <t>78 S1RP44/S1RB12</t>
  </si>
  <si>
    <t>79 S1RE15</t>
  </si>
  <si>
    <t>80 S1RP45/S1RB13</t>
  </si>
  <si>
    <t>Import List dsPIC33CH256/512MP205/505 Main Core</t>
  </si>
  <si>
    <t>Import List dsPIC33CH256/512MP205/505 Secondary Core</t>
  </si>
  <si>
    <t>Import List dsPIC33CH256/512MP206/506 Secondary Core</t>
  </si>
  <si>
    <t>Import List dsPIC33CH256/512MP208/508 Main Core</t>
  </si>
  <si>
    <t>Import List dsPIC33CH256/512MP206/506 Main Core</t>
  </si>
  <si>
    <t>Import List dsPIC33CH256/512MP208/508 Secondary Core</t>
  </si>
  <si>
    <t>M91406</t>
  </si>
  <si>
    <t>__builtin_R%PORT%%PIN%</t>
  </si>
  <si>
    <t>RV0</t>
  </si>
  <si>
    <t>63 RP52/PWM5H/ASDA2/RV0</t>
  </si>
  <si>
    <t>RV1</t>
  </si>
  <si>
    <t>RV2</t>
  </si>
  <si>
    <t>65 RP53/PWM5L/ASCL2/PMWR/PMENB/PSWR/RV1</t>
  </si>
  <si>
    <t>66 RP58/PWM7H/PMRD/PMWR/PSRD/RV2</t>
  </si>
  <si>
    <t>00 RE12 (virtual pin as part of secure subsystem control I/Os)</t>
  </si>
  <si>
    <t>Import List dsPIC33CKxxMP410/710</t>
  </si>
  <si>
    <t xml:space="preserve">{ return(_CNPD%PORT%%PIN%); } </t>
  </si>
  <si>
    <t>{ _CNPD%PORT%%PIN% = a; }</t>
  </si>
  <si>
    <t>ADC Cores</t>
  </si>
  <si>
    <t>1.0.8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</si>
</sst>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onsolas"/>
      <family val="3"/>
    </font>
    <font>
      <sz val="8"/>
      <color rgb="FF000000"/>
      <name val="Segoe UI"/>
      <family val="2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horizontal="right"/>
    </xf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1" xfId="0" applyFont="1" applyBorder="1"/>
    <xf numFmtId="0" fontId="3" fillId="0" borderId="0" xfId="0" applyFont="1"/>
    <xf numFmtId="0" fontId="0" fillId="4" borderId="0" xfId="0" applyFill="1"/>
    <xf numFmtId="11" fontId="0" fillId="0" borderId="0" xfId="0" applyNumberFormat="1"/>
    <xf numFmtId="48" fontId="0" fillId="0" borderId="0" xfId="0" applyNumberFormat="1"/>
    <xf numFmtId="1" fontId="0" fillId="0" borderId="0" xfId="0" applyNumberFormat="1"/>
    <xf numFmtId="0" fontId="5" fillId="0" borderId="0" xfId="0" applyFont="1"/>
    <xf numFmtId="0" fontId="0" fillId="0" borderId="0" xfId="0" applyAlignment="1">
      <alignment vertical="top" wrapText="1"/>
    </xf>
    <xf numFmtId="0" fontId="0" fillId="5" borderId="1" xfId="0" applyFill="1" applyBorder="1" applyAlignment="1">
      <alignment horizontal="center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69F"/>
      <color rgb="FFFF9D5B"/>
      <color rgb="FFFF6600"/>
      <color rgb="FFFCF600"/>
      <color rgb="FFCCCC00"/>
      <color rgb="FF66FFFF"/>
      <color rgb="FFCC99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U$1" lockText="1" noThreeD="1"/>
</file>

<file path=xl/ctrlProps/ctrlProp5.xml><?xml version="1.0" encoding="utf-8"?>
<formControlPr xmlns="http://schemas.microsoft.com/office/spreadsheetml/2009/9/main" objectType="CheckBox" checked="Checked" fmlaLink="$V$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$U$1" lockText="1" noThreeD="1"/>
</file>

<file path=xl/ctrlProps/ctrlProp9.xml><?xml version="1.0" encoding="utf-8"?>
<formControlPr xmlns="http://schemas.microsoft.com/office/spreadsheetml/2009/9/main" objectType="CheckBox" checked="Checked" fmlaLink="$V$1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$U$1" lockText="1" noThreeD="1"/>
</file>

<file path=xl/ctrlProps/ctrlProp13.xml><?xml version="1.0" encoding="utf-8"?>
<formControlPr xmlns="http://schemas.microsoft.com/office/spreadsheetml/2009/9/main" objectType="CheckBox" checked="Checked" fmlaLink="$V$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$U$1" lockText="1" noThreeD="1"/>
</file>

<file path=xl/ctrlProps/ctrlProp17.xml><?xml version="1.0" encoding="utf-8"?>
<formControlPr xmlns="http://schemas.microsoft.com/office/spreadsheetml/2009/9/main" objectType="CheckBox" checked="Checked" fmlaLink="$V$1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$U$1" lockText="1" noThreeD="1"/>
</file>

<file path=xl/ctrlProps/ctrlProp21.xml><?xml version="1.0" encoding="utf-8"?>
<formControlPr xmlns="http://schemas.microsoft.com/office/spreadsheetml/2009/9/main" objectType="CheckBox" checked="Checked" fmlaLink="$V$1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U$1" lockText="1" noThreeD="1"/>
</file>

<file path=xl/ctrlProps/ctrlProp26.xml><?xml version="1.0" encoding="utf-8"?>
<formControlPr xmlns="http://schemas.microsoft.com/office/spreadsheetml/2009/9/main" objectType="CheckBox" checked="Checked" fmlaLink="$V$1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checked="Checked" fmlaLink="$U$1" lockText="1" noThreeD="1"/>
</file>

<file path=xl/ctrlProps/ctrlProp30.xml><?xml version="1.0" encoding="utf-8"?>
<formControlPr xmlns="http://schemas.microsoft.com/office/spreadsheetml/2009/9/main" objectType="CheckBox" checked="Checked" fmlaLink="$V$1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CheckBox" checked="Checked" fmlaLink="$U$1" lockText="1" noThreeD="1"/>
</file>

<file path=xl/ctrlProps/ctrlProp34.xml><?xml version="1.0" encoding="utf-8"?>
<formControlPr xmlns="http://schemas.microsoft.com/office/spreadsheetml/2009/9/main" objectType="CheckBox" checked="Checked" fmlaLink="$V$1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$U$1" lockText="1" noThreeD="1"/>
</file>

<file path=xl/ctrlProps/ctrlProp38.xml><?xml version="1.0" encoding="utf-8"?>
<formControlPr xmlns="http://schemas.microsoft.com/office/spreadsheetml/2009/9/main" objectType="CheckBox" checked="Checked" fmlaLink="$V$1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checked="Checked" fmlaLink="$U$1" lockText="1" noThreeD="1"/>
</file>

<file path=xl/ctrlProps/ctrlProp42.xml><?xml version="1.0" encoding="utf-8"?>
<formControlPr xmlns="http://schemas.microsoft.com/office/spreadsheetml/2009/9/main" objectType="CheckBox" checked="Checked" fmlaLink="$V$1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$U$1" lockText="1" noThreeD="1"/>
</file>

<file path=xl/ctrlProps/ctrlProp46.xml><?xml version="1.0" encoding="utf-8"?>
<formControlPr xmlns="http://schemas.microsoft.com/office/spreadsheetml/2009/9/main" objectType="CheckBox" checked="Checked" fmlaLink="$V$1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fmlaLink="$U$1" lockText="1" noThreeD="1"/>
</file>

<file path=xl/ctrlProps/ctrlProp50.xml><?xml version="1.0" encoding="utf-8"?>
<formControlPr xmlns="http://schemas.microsoft.com/office/spreadsheetml/2009/9/main" objectType="CheckBox" checked="Checked" fmlaLink="$V$1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fmlaLink="$U$1" lockText="1" noThreeD="1"/>
</file>

<file path=xl/ctrlProps/ctrlProp54.xml><?xml version="1.0" encoding="utf-8"?>
<formControlPr xmlns="http://schemas.microsoft.com/office/spreadsheetml/2009/9/main" objectType="CheckBox" checked="Checked" fmlaLink="$V$1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fmlaLink="$U$1" lockText="1" noThreeD="1"/>
</file>

<file path=xl/ctrlProps/ctrlProp58.xml><?xml version="1.0" encoding="utf-8"?>
<formControlPr xmlns="http://schemas.microsoft.com/office/spreadsheetml/2009/9/main" objectType="CheckBox" checked="Checked" fmlaLink="$V$1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fmlaLink="$U$1" lockText="1" noThreeD="1"/>
</file>

<file path=xl/ctrlProps/ctrlProp62.xml><?xml version="1.0" encoding="utf-8"?>
<formControlPr xmlns="http://schemas.microsoft.com/office/spreadsheetml/2009/9/main" objectType="CheckBox" checked="Checked" fmlaLink="$V$1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fmlaLink="$U$1" lockText="1" noThreeD="1"/>
</file>

<file path=xl/ctrlProps/ctrlProp66.xml><?xml version="1.0" encoding="utf-8"?>
<formControlPr xmlns="http://schemas.microsoft.com/office/spreadsheetml/2009/9/main" objectType="CheckBox" checked="Checked" fmlaLink="$V$1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fmlaLink="$U$1" lockText="1" noThreeD="1"/>
</file>

<file path=xl/ctrlProps/ctrlProp70.xml><?xml version="1.0" encoding="utf-8"?>
<formControlPr xmlns="http://schemas.microsoft.com/office/spreadsheetml/2009/9/main" objectType="CheckBox" checked="Checked" fmlaLink="$V$1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fmlaLink="$U$1" lockText="1" noThreeD="1"/>
</file>

<file path=xl/ctrlProps/ctrlProp74.xml><?xml version="1.0" encoding="utf-8"?>
<formControlPr xmlns="http://schemas.microsoft.com/office/spreadsheetml/2009/9/main" objectType="CheckBox" checked="Checked" fmlaLink="$V$1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checked="Checked" fmlaLink="$U$1" lockText="1" noThreeD="1"/>
</file>

<file path=xl/ctrlProps/ctrlProp78.xml><?xml version="1.0" encoding="utf-8"?>
<formControlPr xmlns="http://schemas.microsoft.com/office/spreadsheetml/2009/9/main" objectType="CheckBox" checked="Checked" fmlaLink="$V$1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fmlaLink="$U$1" lockText="1" noThreeD="1"/>
</file>

<file path=xl/ctrlProps/ctrlProp82.xml><?xml version="1.0" encoding="utf-8"?>
<formControlPr xmlns="http://schemas.microsoft.com/office/spreadsheetml/2009/9/main" objectType="CheckBox" checked="Checked" fmlaLink="$V$1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fmlaLink="$U$1" lockText="1" noThreeD="1"/>
</file>

<file path=xl/ctrlProps/ctrlProp86.xml><?xml version="1.0" encoding="utf-8"?>
<formControlPr xmlns="http://schemas.microsoft.com/office/spreadsheetml/2009/9/main" objectType="CheckBox" checked="Checked" fmlaLink="$V$1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checked="Checked" fmlaLink="$U$1" lockText="1" noThreeD="1"/>
</file>

<file path=xl/ctrlProps/ctrlProp90.xml><?xml version="1.0" encoding="utf-8"?>
<formControlPr xmlns="http://schemas.microsoft.com/office/spreadsheetml/2009/9/main" objectType="CheckBox" checked="Checked" fmlaLink="$V$1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CheckBox" checked="Checked" fmlaLink="$U$1" lockText="1" noThreeD="1"/>
</file>

<file path=xl/ctrlProps/ctrlProp94.xml><?xml version="1.0" encoding="utf-8"?>
<formControlPr xmlns="http://schemas.microsoft.com/office/spreadsheetml/2009/9/main" objectType="CheckBox" checked="Checked" fmlaLink="$V$1" lockText="1" noThreeD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CheckBox" checked="Checked" fmlaLink="$U$1" lockText="1" noThreeD="1"/>
</file>

<file path=xl/ctrlProps/ctrlProp98.xml><?xml version="1.0" encoding="utf-8"?>
<formControlPr xmlns="http://schemas.microsoft.com/office/spreadsheetml/2009/9/main" objectType="CheckBox" checked="Checked" fmlaLink="$V$1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checked="Checked" fmlaLink="$U$1" lockText="1" noThreeD="1"/>
</file>

<file path=xl/ctrlProps/ctrlProp102.xml><?xml version="1.0" encoding="utf-8"?>
<formControlPr xmlns="http://schemas.microsoft.com/office/spreadsheetml/2009/9/main" objectType="CheckBox" checked="Checked" fmlaLink="$V$1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checked="Checked" fmlaLink="$U$1" lockText="1" noThreeD="1"/>
</file>

<file path=xl/ctrlProps/ctrlProp106.xml><?xml version="1.0" encoding="utf-8"?>
<formControlPr xmlns="http://schemas.microsoft.com/office/spreadsheetml/2009/9/main" objectType="CheckBox" checked="Checked" fmlaLink="$V$1" lockText="1" noThreeD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fmlaLink="$U$1" lockText="1" noThreeD="1"/>
</file>

<file path=xl/ctrlProps/ctrlProp110.xml><?xml version="1.0" encoding="utf-8"?>
<formControlPr xmlns="http://schemas.microsoft.com/office/spreadsheetml/2009/9/main" objectType="CheckBox" checked="Checked" fmlaLink="$V$1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fmlaLink="$U$1" lockText="1" noThreeD="1"/>
</file>

<file path=xl/ctrlProps/ctrlProp114.xml><?xml version="1.0" encoding="utf-8"?>
<formControlPr xmlns="http://schemas.microsoft.com/office/spreadsheetml/2009/9/main" objectType="CheckBox" checked="Checked" fmlaLink="$V$1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fmlaLink="$U$1" lockText="1" noThreeD="1"/>
</file>

<file path=xl/ctrlProps/ctrlProp118.xml><?xml version="1.0" encoding="utf-8"?>
<formControlPr xmlns="http://schemas.microsoft.com/office/spreadsheetml/2009/9/main" objectType="CheckBox" checked="Checked" fmlaLink="$V$1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fmlaLink="$U$1" lockText="1" noThreeD="1"/>
</file>

<file path=xl/ctrlProps/ctrlProp122.xml><?xml version="1.0" encoding="utf-8"?>
<formControlPr xmlns="http://schemas.microsoft.com/office/spreadsheetml/2009/9/main" objectType="CheckBox" checked="Checked" fmlaLink="$V$1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fmlaLink="$U$1" lockText="1" noThreeD="1"/>
</file>

<file path=xl/ctrlProps/ctrlProp126.xml><?xml version="1.0" encoding="utf-8"?>
<formControlPr xmlns="http://schemas.microsoft.com/office/spreadsheetml/2009/9/main" objectType="CheckBox" checked="Checked" fmlaLink="$V$1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CheckBox" checked="Checked" fmlaLink="$U$1" lockText="1" noThreeD="1"/>
</file>

<file path=xl/ctrlProps/ctrlProp130.xml><?xml version="1.0" encoding="utf-8"?>
<formControlPr xmlns="http://schemas.microsoft.com/office/spreadsheetml/2009/9/main" objectType="CheckBox" checked="Checked" fmlaLink="$V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76200</xdr:rowOff>
        </xdr:from>
        <xdr:to>
          <xdr:col>8</xdr:col>
          <xdr:colOff>504825</xdr:colOff>
          <xdr:row>1</xdr:row>
          <xdr:rowOff>161925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Intrinsics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8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333375</xdr:colOff>
          <xdr:row>9</xdr:row>
          <xdr:rowOff>114300</xdr:rowOff>
        </xdr:from>
        <xdr:to>
          <xdr:col>17</xdr:col>
          <xdr:colOff>419100</xdr:colOff>
          <xdr:row>11</xdr:row>
          <xdr:rowOff>123825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8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9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B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B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B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9525</xdr:colOff>
          <xdr:row>4</xdr:row>
          <xdr:rowOff>180975</xdr:rowOff>
        </xdr:from>
        <xdr:to>
          <xdr:col>18</xdr:col>
          <xdr:colOff>533400</xdr:colOff>
          <xdr:row>6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C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9525</xdr:colOff>
          <xdr:row>5</xdr:row>
          <xdr:rowOff>171450</xdr:rowOff>
        </xdr:from>
        <xdr:to>
          <xdr:col>17</xdr:col>
          <xdr:colOff>276225</xdr:colOff>
          <xdr:row>7</xdr:row>
          <xdr:rowOff>28575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C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D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E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E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E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F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1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1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4</xdr:row>
          <xdr:rowOff>180975</xdr:rowOff>
        </xdr:from>
        <xdr:to>
          <xdr:col>18</xdr:col>
          <xdr:colOff>542925</xdr:colOff>
          <xdr:row>6</xdr:row>
          <xdr:rowOff>19050</xdr:rowOff>
        </xdr:to>
        <xdr:sp macro="" textlink="">
          <xdr:nvSpPr>
            <xdr:cNvPr id="40963" name="Check Box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5</xdr:row>
          <xdr:rowOff>171450</xdr:rowOff>
        </xdr:from>
        <xdr:to>
          <xdr:col>17</xdr:col>
          <xdr:colOff>285750</xdr:colOff>
          <xdr:row>7</xdr:row>
          <xdr:rowOff>28575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1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3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13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14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4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5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6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0179" name="Check Box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6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0180" name="Check Box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6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7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7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7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7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2227" name="Check Box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8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2228" name="Check Box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8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9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9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3251" name="Check Box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9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3252" name="Check Box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9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A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A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A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B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C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6323" name="Check Box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6324" name="Check Box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7347" name="Check Box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D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7348" name="Check Box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E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F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F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F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F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60419" name="Check Box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60420" name="Check Box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61443" name="Check Box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61444" name="Check Box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62467" name="Check Box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62468" name="Check Box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47625</xdr:rowOff>
        </xdr:from>
        <xdr:to>
          <xdr:col>17</xdr:col>
          <xdr:colOff>9525</xdr:colOff>
          <xdr:row>0</xdr:row>
          <xdr:rowOff>333375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133350</xdr:colOff>
          <xdr:row>0</xdr:row>
          <xdr:rowOff>57150</xdr:rowOff>
        </xdr:from>
        <xdr:to>
          <xdr:col>19</xdr:col>
          <xdr:colOff>142875</xdr:colOff>
          <xdr:row>0</xdr:row>
          <xdr:rowOff>342900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4</xdr:row>
          <xdr:rowOff>180975</xdr:rowOff>
        </xdr:from>
        <xdr:to>
          <xdr:col>18</xdr:col>
          <xdr:colOff>552450</xdr:colOff>
          <xdr:row>6</xdr:row>
          <xdr:rowOff>19050</xdr:rowOff>
        </xdr:to>
        <xdr:sp macro="" textlink="">
          <xdr:nvSpPr>
            <xdr:cNvPr id="63491" name="Check Box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Declare Pin Class Objects as Constants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28575</xdr:colOff>
          <xdr:row>5</xdr:row>
          <xdr:rowOff>171450</xdr:rowOff>
        </xdr:from>
        <xdr:to>
          <xdr:col>17</xdr:col>
          <xdr:colOff>295275</xdr:colOff>
          <xdr:row>7</xdr:row>
          <xdr:rowOff>28575</xdr:rowOff>
        </xdr:to>
        <xdr:sp macro="" textlink="">
          <xdr:nvSpPr>
            <xdr:cNvPr id="63492" name="Check Box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Single Header File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78.xml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3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5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18.xml"/><Relationship Id="rId5" Type="http://schemas.openxmlformats.org/officeDocument/2006/relationships/ctrlProp" Target="../ctrlProps/ctrlProp117.xml"/><Relationship Id="rId4" Type="http://schemas.openxmlformats.org/officeDocument/2006/relationships/ctrlProp" Target="../ctrlProps/ctrlProp11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9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3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126.xml"/><Relationship Id="rId5" Type="http://schemas.openxmlformats.org/officeDocument/2006/relationships/ctrlProp" Target="../ctrlProps/ctrlProp125.xml"/><Relationship Id="rId4" Type="http://schemas.openxmlformats.org/officeDocument/2006/relationships/ctrlProp" Target="../ctrlProps/ctrlProp12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130.xml"/><Relationship Id="rId5" Type="http://schemas.openxmlformats.org/officeDocument/2006/relationships/ctrlProp" Target="../ctrlProps/ctrlProp129.xml"/><Relationship Id="rId4" Type="http://schemas.openxmlformats.org/officeDocument/2006/relationships/ctrlProp" Target="../ctrlProps/ctrlProp1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E85C-71C3-4511-8DB9-4D4139086064}">
  <sheetPr codeName="Sheet2">
    <tabColor theme="5" tint="0.59999389629810485"/>
  </sheetPr>
  <dimension ref="A1:Q11"/>
  <sheetViews>
    <sheetView workbookViewId="0">
      <selection activeCell="C3" sqref="C3"/>
    </sheetView>
  </sheetViews>
  <sheetFormatPr defaultRowHeight="15" x14ac:dyDescent="0.25"/>
  <cols>
    <col min="1" max="1" width="11.7109375" customWidth="1"/>
    <col min="2" max="2" width="16.5703125" customWidth="1"/>
    <col min="3" max="3" width="10.140625" bestFit="1" customWidth="1"/>
  </cols>
  <sheetData>
    <row r="1" spans="1:17" x14ac:dyDescent="0.25">
      <c r="A1" s="16" t="s">
        <v>376</v>
      </c>
      <c r="B1" s="16"/>
      <c r="C1" s="16"/>
    </row>
    <row r="2" spans="1:17" x14ac:dyDescent="0.25">
      <c r="A2" s="3" t="s">
        <v>1282</v>
      </c>
      <c r="B2" s="3" t="s">
        <v>461</v>
      </c>
      <c r="C2" s="3">
        <v>3</v>
      </c>
    </row>
    <row r="3" spans="1:17" x14ac:dyDescent="0.25">
      <c r="A3" s="3"/>
      <c r="B3" s="3" t="s">
        <v>462</v>
      </c>
      <c r="C3" s="3">
        <v>3</v>
      </c>
      <c r="Q3" s="5"/>
    </row>
    <row r="4" spans="1:17" x14ac:dyDescent="0.25">
      <c r="A4" s="3"/>
      <c r="B4" s="3" t="s">
        <v>608</v>
      </c>
      <c r="C4" s="3">
        <v>5</v>
      </c>
    </row>
    <row r="5" spans="1:17" x14ac:dyDescent="0.25">
      <c r="A5" s="3"/>
      <c r="B5" s="3" t="s">
        <v>609</v>
      </c>
      <c r="C5" s="3">
        <v>5</v>
      </c>
    </row>
    <row r="6" spans="1:17" x14ac:dyDescent="0.25">
      <c r="A6" s="3"/>
      <c r="B6" s="3" t="s">
        <v>610</v>
      </c>
      <c r="C6" s="3">
        <v>5</v>
      </c>
    </row>
    <row r="7" spans="1:17" x14ac:dyDescent="0.25">
      <c r="A7" s="3"/>
      <c r="B7" s="3" t="s">
        <v>888</v>
      </c>
      <c r="C7" s="3">
        <v>1</v>
      </c>
    </row>
    <row r="8" spans="1:17" x14ac:dyDescent="0.25">
      <c r="A8" s="3"/>
      <c r="B8" s="3" t="s">
        <v>889</v>
      </c>
      <c r="C8" s="3">
        <v>3</v>
      </c>
    </row>
    <row r="9" spans="1:17" x14ac:dyDescent="0.25">
      <c r="A9" s="3"/>
      <c r="B9" s="3" t="s">
        <v>890</v>
      </c>
      <c r="C9" s="3">
        <v>1</v>
      </c>
    </row>
    <row r="10" spans="1:17" x14ac:dyDescent="0.25">
      <c r="A10" s="3"/>
      <c r="B10" s="3" t="s">
        <v>891</v>
      </c>
      <c r="C10" s="3">
        <v>3</v>
      </c>
    </row>
    <row r="11" spans="1:17" x14ac:dyDescent="0.25">
      <c r="A11" s="3"/>
      <c r="B11" s="3"/>
      <c r="C11" s="3"/>
    </row>
  </sheetData>
  <mergeCells count="1">
    <mergeCell ref="A1: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E192-8357-4067-B47B-BFD706312A66}">
  <sheetPr codeName="sheetGPIO">
    <tabColor theme="7" tint="0.59999389629810485"/>
  </sheetPr>
  <dimension ref="A1:P28"/>
  <sheetViews>
    <sheetView topLeftCell="D1" workbookViewId="0">
      <selection activeCell="I5" sqref="I5"/>
    </sheetView>
  </sheetViews>
  <sheetFormatPr defaultRowHeight="15" x14ac:dyDescent="0.25"/>
  <cols>
    <col min="1" max="1" width="21.5703125" style="9" customWidth="1"/>
    <col min="2" max="2" width="23.42578125" style="9" bestFit="1" customWidth="1"/>
    <col min="3" max="3" width="14.7109375" style="9" customWidth="1"/>
    <col min="4" max="4" width="23.42578125" style="9" customWidth="1"/>
    <col min="5" max="5" width="51.42578125" style="9" bestFit="1" customWidth="1"/>
    <col min="6" max="6" width="79.42578125" style="9" bestFit="1" customWidth="1"/>
    <col min="7" max="7" width="37" customWidth="1"/>
    <col min="8" max="8" width="9.140625" customWidth="1"/>
  </cols>
  <sheetData>
    <row r="1" spans="1:16" ht="30" customHeight="1" x14ac:dyDescent="0.25">
      <c r="A1" s="6" t="s">
        <v>270</v>
      </c>
      <c r="B1" s="6" t="s">
        <v>271</v>
      </c>
      <c r="C1" s="6" t="s">
        <v>272</v>
      </c>
      <c r="D1" s="6" t="s">
        <v>273</v>
      </c>
      <c r="E1" s="6" t="s">
        <v>274</v>
      </c>
      <c r="F1" s="6" t="s">
        <v>275</v>
      </c>
      <c r="G1" s="7" t="s">
        <v>276</v>
      </c>
    </row>
    <row r="2" spans="1:16" x14ac:dyDescent="0.25">
      <c r="A2" s="8" t="s">
        <v>277</v>
      </c>
      <c r="B2" s="8" t="s">
        <v>1271</v>
      </c>
      <c r="C2" s="8" t="s">
        <v>278</v>
      </c>
      <c r="D2" s="8" t="s">
        <v>279</v>
      </c>
      <c r="E2" s="8" t="s">
        <v>280</v>
      </c>
      <c r="F2" s="8" t="s">
        <v>281</v>
      </c>
      <c r="G2" s="3"/>
    </row>
    <row r="3" spans="1:16" x14ac:dyDescent="0.25">
      <c r="A3" s="8" t="s">
        <v>282</v>
      </c>
      <c r="B3" s="8" t="s">
        <v>1271</v>
      </c>
      <c r="C3" s="8" t="s">
        <v>283</v>
      </c>
      <c r="D3" s="8" t="s">
        <v>279</v>
      </c>
      <c r="E3" s="8" t="s">
        <v>284</v>
      </c>
      <c r="F3" s="8" t="s">
        <v>285</v>
      </c>
      <c r="G3" s="3"/>
      <c r="I3" s="5"/>
      <c r="K3" s="5"/>
      <c r="P3" s="5"/>
    </row>
    <row r="4" spans="1:16" x14ac:dyDescent="0.25">
      <c r="A4" s="8" t="s">
        <v>282</v>
      </c>
      <c r="B4" s="8" t="s">
        <v>1271</v>
      </c>
      <c r="C4" s="8" t="s">
        <v>286</v>
      </c>
      <c r="D4" s="8" t="s">
        <v>279</v>
      </c>
      <c r="E4" s="8" t="s">
        <v>287</v>
      </c>
      <c r="F4" s="8" t="s">
        <v>288</v>
      </c>
      <c r="G4" s="3"/>
      <c r="H4" t="s">
        <v>14</v>
      </c>
      <c r="I4" t="s">
        <v>1270</v>
      </c>
    </row>
    <row r="5" spans="1:16" x14ac:dyDescent="0.25">
      <c r="A5" s="8" t="s">
        <v>282</v>
      </c>
      <c r="B5" s="8" t="s">
        <v>1271</v>
      </c>
      <c r="C5" s="8" t="s">
        <v>289</v>
      </c>
      <c r="D5" s="8" t="s">
        <v>279</v>
      </c>
      <c r="E5" s="8" t="s">
        <v>290</v>
      </c>
      <c r="F5" s="8" t="s">
        <v>291</v>
      </c>
      <c r="G5" s="3"/>
      <c r="H5" s="5" t="s">
        <v>18</v>
      </c>
      <c r="I5" s="17">
        <f ca="1">NOW()</f>
        <v>45756.961990972224</v>
      </c>
    </row>
    <row r="6" spans="1:16" x14ac:dyDescent="0.25">
      <c r="A6" s="8" t="s">
        <v>282</v>
      </c>
      <c r="B6" s="8" t="s">
        <v>1271</v>
      </c>
      <c r="C6" s="8" t="s">
        <v>292</v>
      </c>
      <c r="D6" s="8" t="s">
        <v>279</v>
      </c>
      <c r="E6" s="8" t="s">
        <v>293</v>
      </c>
      <c r="F6" s="8" t="s">
        <v>294</v>
      </c>
      <c r="G6" s="3"/>
      <c r="H6" t="s">
        <v>21</v>
      </c>
      <c r="I6" t="s">
        <v>1283</v>
      </c>
    </row>
    <row r="7" spans="1:16" x14ac:dyDescent="0.25">
      <c r="A7" s="8" t="s">
        <v>282</v>
      </c>
      <c r="B7" s="8" t="s">
        <v>1271</v>
      </c>
      <c r="C7" s="8" t="s">
        <v>295</v>
      </c>
      <c r="D7" s="8" t="s">
        <v>279</v>
      </c>
      <c r="E7" s="8" t="s">
        <v>296</v>
      </c>
      <c r="F7" s="8" t="s">
        <v>297</v>
      </c>
      <c r="G7" s="3"/>
    </row>
    <row r="8" spans="1:16" x14ac:dyDescent="0.25">
      <c r="A8" s="8" t="s">
        <v>282</v>
      </c>
      <c r="B8" s="8" t="s">
        <v>1271</v>
      </c>
      <c r="C8" s="8" t="s">
        <v>298</v>
      </c>
      <c r="D8" s="8" t="s">
        <v>299</v>
      </c>
      <c r="E8" s="8" t="s">
        <v>300</v>
      </c>
      <c r="F8" s="8" t="s">
        <v>297</v>
      </c>
      <c r="G8" s="3"/>
    </row>
    <row r="9" spans="1:16" x14ac:dyDescent="0.25">
      <c r="A9" s="8" t="s">
        <v>282</v>
      </c>
      <c r="B9" s="8" t="s">
        <v>1271</v>
      </c>
      <c r="C9" s="8" t="s">
        <v>301</v>
      </c>
      <c r="D9" s="8" t="s">
        <v>302</v>
      </c>
      <c r="E9" s="8" t="s">
        <v>303</v>
      </c>
      <c r="F9" s="8" t="s">
        <v>304</v>
      </c>
      <c r="G9" s="3"/>
    </row>
    <row r="10" spans="1:16" x14ac:dyDescent="0.25">
      <c r="A10" s="8" t="s">
        <v>282</v>
      </c>
      <c r="B10" s="8" t="s">
        <v>1271</v>
      </c>
      <c r="C10" s="8" t="s">
        <v>305</v>
      </c>
      <c r="D10" s="8" t="s">
        <v>279</v>
      </c>
      <c r="E10" s="8" t="s">
        <v>306</v>
      </c>
      <c r="F10" s="8" t="s">
        <v>307</v>
      </c>
      <c r="G10" s="3"/>
    </row>
    <row r="11" spans="1:16" x14ac:dyDescent="0.25">
      <c r="A11" s="8" t="s">
        <v>277</v>
      </c>
      <c r="B11" s="8" t="s">
        <v>1271</v>
      </c>
      <c r="C11" s="8" t="s">
        <v>308</v>
      </c>
      <c r="D11" s="8" t="s">
        <v>279</v>
      </c>
      <c r="E11" s="8" t="s">
        <v>309</v>
      </c>
      <c r="F11" s="8" t="s">
        <v>310</v>
      </c>
      <c r="G11" s="3"/>
    </row>
    <row r="12" spans="1:16" x14ac:dyDescent="0.25">
      <c r="A12" s="8" t="s">
        <v>282</v>
      </c>
      <c r="B12" s="8" t="s">
        <v>1271</v>
      </c>
      <c r="C12" s="8" t="s">
        <v>311</v>
      </c>
      <c r="D12" s="8" t="s">
        <v>312</v>
      </c>
      <c r="E12" s="8" t="s">
        <v>313</v>
      </c>
      <c r="F12" s="8" t="s">
        <v>314</v>
      </c>
      <c r="G12" s="3"/>
    </row>
    <row r="13" spans="1:16" x14ac:dyDescent="0.25">
      <c r="A13" s="8" t="s">
        <v>277</v>
      </c>
      <c r="B13" s="8" t="s">
        <v>1271</v>
      </c>
      <c r="C13" s="8" t="s">
        <v>315</v>
      </c>
      <c r="D13" s="8" t="s">
        <v>279</v>
      </c>
      <c r="E13" s="8" t="s">
        <v>316</v>
      </c>
      <c r="F13" s="8" t="s">
        <v>317</v>
      </c>
      <c r="G13" s="3"/>
    </row>
    <row r="14" spans="1:16" x14ac:dyDescent="0.25">
      <c r="A14" s="8" t="s">
        <v>282</v>
      </c>
      <c r="B14" s="8" t="s">
        <v>1271</v>
      </c>
      <c r="C14" s="8" t="s">
        <v>318</v>
      </c>
      <c r="D14" s="8" t="s">
        <v>312</v>
      </c>
      <c r="E14" s="8" t="s">
        <v>319</v>
      </c>
      <c r="F14" s="8" t="s">
        <v>320</v>
      </c>
      <c r="G14" s="3"/>
    </row>
    <row r="15" spans="1:16" x14ac:dyDescent="0.25">
      <c r="A15" s="8" t="s">
        <v>277</v>
      </c>
      <c r="B15" s="8" t="s">
        <v>1271</v>
      </c>
      <c r="C15" s="8" t="s">
        <v>321</v>
      </c>
      <c r="D15" s="8" t="s">
        <v>279</v>
      </c>
      <c r="E15" s="8" t="s">
        <v>1280</v>
      </c>
      <c r="F15" s="8" t="s">
        <v>322</v>
      </c>
      <c r="G15" s="3"/>
    </row>
    <row r="16" spans="1:16" x14ac:dyDescent="0.25">
      <c r="A16" s="8" t="s">
        <v>282</v>
      </c>
      <c r="B16" s="8" t="s">
        <v>1271</v>
      </c>
      <c r="C16" s="8" t="s">
        <v>323</v>
      </c>
      <c r="D16" s="8" t="s">
        <v>312</v>
      </c>
      <c r="E16" s="8" t="s">
        <v>1281</v>
      </c>
      <c r="F16" s="8" t="s">
        <v>324</v>
      </c>
      <c r="G16" s="3"/>
    </row>
    <row r="17" spans="1:7" x14ac:dyDescent="0.25">
      <c r="A17" s="8" t="s">
        <v>282</v>
      </c>
      <c r="B17" s="8" t="s">
        <v>1271</v>
      </c>
      <c r="C17" s="8" t="s">
        <v>325</v>
      </c>
      <c r="D17" s="8" t="s">
        <v>279</v>
      </c>
      <c r="E17" s="8" t="s">
        <v>326</v>
      </c>
      <c r="F17" s="8" t="s">
        <v>327</v>
      </c>
      <c r="G17" s="3" t="s">
        <v>328</v>
      </c>
    </row>
    <row r="18" spans="1:7" x14ac:dyDescent="0.25">
      <c r="A18" s="8" t="s">
        <v>282</v>
      </c>
      <c r="B18" s="8" t="s">
        <v>1271</v>
      </c>
      <c r="C18" s="8" t="s">
        <v>329</v>
      </c>
      <c r="D18" s="8" t="s">
        <v>279</v>
      </c>
      <c r="E18" s="8" t="s">
        <v>330</v>
      </c>
      <c r="F18" s="8" t="s">
        <v>331</v>
      </c>
      <c r="G18" s="3" t="s">
        <v>328</v>
      </c>
    </row>
    <row r="19" spans="1:7" x14ac:dyDescent="0.25">
      <c r="A19" s="8"/>
      <c r="B19" s="8"/>
      <c r="C19" s="8"/>
      <c r="D19" s="8"/>
      <c r="E19" s="8"/>
      <c r="F19" s="8"/>
      <c r="G19" s="3"/>
    </row>
    <row r="20" spans="1:7" x14ac:dyDescent="0.25">
      <c r="A20" s="8"/>
      <c r="B20" s="8"/>
      <c r="C20" s="8"/>
      <c r="D20" s="8"/>
      <c r="E20" s="8"/>
      <c r="F20" s="8"/>
      <c r="G20" s="3"/>
    </row>
    <row r="21" spans="1:7" x14ac:dyDescent="0.25">
      <c r="A21" s="8"/>
      <c r="B21" s="8"/>
      <c r="C21" s="8"/>
      <c r="D21" s="8"/>
      <c r="E21" s="8"/>
      <c r="F21" s="8"/>
      <c r="G21" s="3"/>
    </row>
    <row r="22" spans="1:7" x14ac:dyDescent="0.25">
      <c r="A22" s="8"/>
      <c r="B22" s="8"/>
      <c r="C22" s="8"/>
      <c r="D22" s="8"/>
      <c r="E22" s="8"/>
      <c r="F22" s="8"/>
      <c r="G22" s="3"/>
    </row>
    <row r="23" spans="1:7" x14ac:dyDescent="0.25">
      <c r="A23" s="8"/>
      <c r="B23" s="8"/>
      <c r="C23" s="8"/>
      <c r="D23" s="8"/>
      <c r="E23" s="8"/>
      <c r="F23" s="8"/>
      <c r="G23" s="3"/>
    </row>
    <row r="24" spans="1:7" x14ac:dyDescent="0.25">
      <c r="A24" s="8"/>
      <c r="B24" s="8"/>
      <c r="C24" s="8"/>
      <c r="D24" s="8"/>
      <c r="E24" s="8"/>
      <c r="F24" s="8"/>
      <c r="G24" s="3"/>
    </row>
    <row r="25" spans="1:7" x14ac:dyDescent="0.25">
      <c r="A25" s="8"/>
      <c r="B25" s="8"/>
      <c r="C25" s="8"/>
      <c r="D25" s="8"/>
      <c r="E25" s="8"/>
      <c r="F25" s="8"/>
      <c r="G25" s="3"/>
    </row>
    <row r="26" spans="1:7" x14ac:dyDescent="0.25">
      <c r="A26" s="8"/>
      <c r="B26" s="8"/>
      <c r="C26" s="8"/>
      <c r="D26" s="8"/>
      <c r="E26" s="8"/>
      <c r="F26" s="8"/>
      <c r="G26" s="3"/>
    </row>
    <row r="27" spans="1:7" x14ac:dyDescent="0.25">
      <c r="A27" s="8"/>
      <c r="B27" s="8"/>
      <c r="C27" s="8"/>
      <c r="D27" s="8"/>
      <c r="E27" s="8"/>
      <c r="F27" s="8"/>
      <c r="G27" s="3"/>
    </row>
    <row r="28" spans="1:7" x14ac:dyDescent="0.25">
      <c r="A28" s="8"/>
      <c r="B28" s="8"/>
      <c r="C28" s="8"/>
      <c r="D28" s="8"/>
      <c r="E28" s="8"/>
      <c r="F28" s="8"/>
      <c r="G28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GenerateIntrinsics">
                <anchor moveWithCells="1">
                  <from>
                    <xdr:col>7</xdr:col>
                    <xdr:colOff>76200</xdr:colOff>
                    <xdr:row>0</xdr:row>
                    <xdr:rowOff>76200</xdr:rowOff>
                  </from>
                  <to>
                    <xdr:col>8</xdr:col>
                    <xdr:colOff>504825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FA46E-8ED9-425D-B751-748A1A83BE17}">
  <sheetPr codeName="Sheet11">
    <tabColor theme="8" tint="0.59999389629810485"/>
  </sheetPr>
  <dimension ref="A1:N8"/>
  <sheetViews>
    <sheetView workbookViewId="0">
      <selection activeCell="B2" sqref="B2"/>
    </sheetView>
  </sheetViews>
  <sheetFormatPr defaultRowHeight="15" x14ac:dyDescent="0.25"/>
  <cols>
    <col min="1" max="1" width="17.42578125" bestFit="1" customWidth="1"/>
    <col min="2" max="2" width="33.28515625" bestFit="1" customWidth="1"/>
    <col min="3" max="3" width="22" bestFit="1" customWidth="1"/>
    <col min="4" max="4" width="20.85546875" bestFit="1" customWidth="1"/>
    <col min="5" max="5" width="22.140625" bestFit="1" customWidth="1"/>
    <col min="6" max="6" width="22" bestFit="1" customWidth="1"/>
    <col min="7" max="7" width="23" bestFit="1" customWidth="1"/>
    <col min="8" max="8" width="22" bestFit="1" customWidth="1"/>
  </cols>
  <sheetData>
    <row r="1" spans="1:14" x14ac:dyDescent="0.25">
      <c r="A1" s="10"/>
      <c r="B1" s="1" t="s">
        <v>3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</row>
    <row r="2" spans="1:14" x14ac:dyDescent="0.25">
      <c r="A2" s="1" t="s">
        <v>332</v>
      </c>
      <c r="B2" s="3" t="s">
        <v>333</v>
      </c>
      <c r="C2" s="3" t="s">
        <v>334</v>
      </c>
      <c r="D2" s="3" t="s">
        <v>335</v>
      </c>
      <c r="E2" s="3" t="s">
        <v>336</v>
      </c>
      <c r="F2" s="3" t="s">
        <v>337</v>
      </c>
      <c r="G2" s="3" t="s">
        <v>338</v>
      </c>
      <c r="H2" s="3" t="s">
        <v>339</v>
      </c>
    </row>
    <row r="3" spans="1:14" x14ac:dyDescent="0.25">
      <c r="A3" s="1" t="s">
        <v>340</v>
      </c>
      <c r="B3" s="3" t="s">
        <v>341</v>
      </c>
      <c r="C3" s="3" t="s">
        <v>342</v>
      </c>
      <c r="D3" s="3" t="s">
        <v>343</v>
      </c>
      <c r="E3" s="3" t="s">
        <v>344</v>
      </c>
      <c r="F3" s="3" t="s">
        <v>345</v>
      </c>
      <c r="G3" s="3" t="s">
        <v>346</v>
      </c>
      <c r="H3" s="3" t="s">
        <v>347</v>
      </c>
    </row>
    <row r="4" spans="1:14" x14ac:dyDescent="0.25">
      <c r="A4" s="1" t="s">
        <v>348</v>
      </c>
      <c r="B4" s="3" t="s">
        <v>349</v>
      </c>
      <c r="C4" s="3" t="s">
        <v>350</v>
      </c>
      <c r="D4" s="3" t="s">
        <v>351</v>
      </c>
      <c r="E4" s="3" t="s">
        <v>352</v>
      </c>
      <c r="F4" s="3" t="s">
        <v>353</v>
      </c>
      <c r="G4" s="3" t="s">
        <v>354</v>
      </c>
      <c r="H4" s="3" t="s">
        <v>355</v>
      </c>
      <c r="J4" s="11"/>
      <c r="K4" s="11"/>
    </row>
    <row r="5" spans="1:14" x14ac:dyDescent="0.25">
      <c r="A5" s="1" t="s">
        <v>275</v>
      </c>
      <c r="B5" s="3" t="s">
        <v>356</v>
      </c>
      <c r="C5" s="3" t="s">
        <v>357</v>
      </c>
      <c r="D5" s="3" t="s">
        <v>358</v>
      </c>
      <c r="E5" s="3" t="s">
        <v>359</v>
      </c>
      <c r="F5" s="3" t="s">
        <v>360</v>
      </c>
      <c r="G5" s="3" t="s">
        <v>361</v>
      </c>
      <c r="H5" s="3" t="s">
        <v>362</v>
      </c>
      <c r="J5" s="12"/>
    </row>
    <row r="6" spans="1:14" x14ac:dyDescent="0.25">
      <c r="A6" s="1"/>
      <c r="B6" s="3"/>
      <c r="C6" s="3"/>
      <c r="D6" s="3"/>
      <c r="E6" s="3"/>
      <c r="F6" s="3"/>
      <c r="G6" s="3"/>
      <c r="H6" s="3"/>
      <c r="J6" s="13"/>
    </row>
    <row r="8" spans="1:14" x14ac:dyDescent="0.25">
      <c r="L8" s="11"/>
      <c r="M8" s="11"/>
      <c r="N8" s="11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F3EF-7B85-4637-BB34-EB4FC2F5168C}">
  <sheetPr codeName="Sheet12">
    <tabColor theme="9" tint="0.59999389629810485"/>
  </sheetPr>
  <dimension ref="A1:B13"/>
  <sheetViews>
    <sheetView workbookViewId="0">
      <selection activeCell="B7" sqref="B7"/>
    </sheetView>
  </sheetViews>
  <sheetFormatPr defaultRowHeight="15" x14ac:dyDescent="0.25"/>
  <cols>
    <col min="1" max="1" width="9.140625" customWidth="1"/>
    <col min="2" max="2" width="97.85546875" bestFit="1" customWidth="1"/>
  </cols>
  <sheetData>
    <row r="1" spans="1:2" x14ac:dyDescent="0.25">
      <c r="A1" s="1" t="s">
        <v>363</v>
      </c>
      <c r="B1" s="1" t="s">
        <v>275</v>
      </c>
    </row>
    <row r="2" spans="1:2" x14ac:dyDescent="0.25">
      <c r="A2" s="3" t="s">
        <v>1</v>
      </c>
      <c r="B2" s="3" t="s">
        <v>364</v>
      </c>
    </row>
    <row r="3" spans="1:2" x14ac:dyDescent="0.25">
      <c r="A3" s="3" t="s">
        <v>0</v>
      </c>
      <c r="B3" s="3" t="s">
        <v>365</v>
      </c>
    </row>
    <row r="4" spans="1:2" x14ac:dyDescent="0.25">
      <c r="A4" s="3" t="s">
        <v>2</v>
      </c>
      <c r="B4" s="3" t="s">
        <v>366</v>
      </c>
    </row>
    <row r="5" spans="1:2" x14ac:dyDescent="0.25">
      <c r="A5" s="3" t="s">
        <v>3</v>
      </c>
      <c r="B5" s="3" t="s">
        <v>367</v>
      </c>
    </row>
    <row r="6" spans="1:2" x14ac:dyDescent="0.25">
      <c r="A6" s="3" t="s">
        <v>4</v>
      </c>
      <c r="B6" s="3" t="s">
        <v>368</v>
      </c>
    </row>
    <row r="7" spans="1:2" x14ac:dyDescent="0.25">
      <c r="A7" s="3" t="s">
        <v>5</v>
      </c>
      <c r="B7" s="3" t="s">
        <v>369</v>
      </c>
    </row>
    <row r="8" spans="1:2" x14ac:dyDescent="0.25">
      <c r="A8" s="3" t="s">
        <v>6</v>
      </c>
      <c r="B8" s="3" t="s">
        <v>370</v>
      </c>
    </row>
    <row r="9" spans="1:2" x14ac:dyDescent="0.25">
      <c r="A9" s="3" t="s">
        <v>7</v>
      </c>
      <c r="B9" s="3" t="s">
        <v>371</v>
      </c>
    </row>
    <row r="10" spans="1:2" x14ac:dyDescent="0.25">
      <c r="A10" s="3" t="s">
        <v>8</v>
      </c>
      <c r="B10" s="3" t="s">
        <v>372</v>
      </c>
    </row>
    <row r="11" spans="1:2" x14ac:dyDescent="0.25">
      <c r="A11" s="3" t="s">
        <v>9</v>
      </c>
      <c r="B11" s="3" t="s">
        <v>373</v>
      </c>
    </row>
    <row r="12" spans="1:2" x14ac:dyDescent="0.25">
      <c r="A12" s="3" t="s">
        <v>10</v>
      </c>
      <c r="B12" s="3" t="s">
        <v>374</v>
      </c>
    </row>
    <row r="13" spans="1:2" x14ac:dyDescent="0.25">
      <c r="A13" s="3" t="s">
        <v>11</v>
      </c>
      <c r="B13" s="3" t="s">
        <v>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C525E-D3A2-4A52-A196-F9E56BEFB8BF}">
  <sheetPr codeName="Sheet9">
    <tabColor theme="0" tint="-0.14999847407452621"/>
  </sheetPr>
  <dimension ref="A1:W81"/>
  <sheetViews>
    <sheetView workbookViewId="0">
      <pane ySplit="1" topLeftCell="A2" activePane="bottomLeft" state="frozen"/>
      <selection activeCell="B7" sqref="B7"/>
      <selection pane="bottomLeft"/>
    </sheetView>
  </sheetViews>
  <sheetFormatPr defaultRowHeight="15" x14ac:dyDescent="0.25"/>
  <cols>
    <col min="1" max="1" width="11" customWidth="1"/>
    <col min="14" max="14" width="68.28515625" bestFit="1" customWidth="1"/>
  </cols>
  <sheetData>
    <row r="1" spans="1:23" ht="30" customHeight="1" x14ac:dyDescent="0.25">
      <c r="A1" s="1" t="s">
        <v>377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406</v>
      </c>
      <c r="U1" s="14" t="b">
        <v>1</v>
      </c>
      <c r="V1" s="14" t="b">
        <v>1</v>
      </c>
      <c r="W1" s="15"/>
    </row>
    <row r="2" spans="1:23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405</v>
      </c>
      <c r="P2" t="s">
        <v>14</v>
      </c>
      <c r="Q2" t="s">
        <v>15</v>
      </c>
    </row>
    <row r="3" spans="1:23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378</v>
      </c>
      <c r="P3" s="5" t="s">
        <v>18</v>
      </c>
      <c r="Q3" s="5">
        <v>45174</v>
      </c>
    </row>
    <row r="4" spans="1:23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379</v>
      </c>
      <c r="P4" t="s">
        <v>21</v>
      </c>
      <c r="Q4" t="s">
        <v>460</v>
      </c>
    </row>
    <row r="5" spans="1:23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380</v>
      </c>
    </row>
    <row r="6" spans="1:23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/>
      <c r="K6" s="3"/>
      <c r="L6" s="3"/>
      <c r="M6" s="3"/>
      <c r="N6" t="s">
        <v>381</v>
      </c>
    </row>
    <row r="7" spans="1:23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386</v>
      </c>
    </row>
    <row r="8" spans="1:23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387</v>
      </c>
    </row>
    <row r="9" spans="1:23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0</v>
      </c>
      <c r="H9" s="3">
        <v>2</v>
      </c>
      <c r="I9" s="3"/>
      <c r="J9" s="3">
        <v>2</v>
      </c>
      <c r="K9" s="3"/>
      <c r="L9" s="3"/>
      <c r="M9" s="3"/>
      <c r="N9" t="s">
        <v>388</v>
      </c>
    </row>
    <row r="10" spans="1:23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389</v>
      </c>
    </row>
    <row r="11" spans="1:23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390</v>
      </c>
    </row>
    <row r="12" spans="1:23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391</v>
      </c>
    </row>
    <row r="13" spans="1:23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392</v>
      </c>
    </row>
    <row r="14" spans="1:23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/>
      <c r="J14" s="3"/>
      <c r="K14" s="3"/>
      <c r="L14" s="3"/>
      <c r="M14" s="3"/>
      <c r="N14" t="s">
        <v>393</v>
      </c>
    </row>
    <row r="15" spans="1:23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394</v>
      </c>
    </row>
    <row r="16" spans="1:23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395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398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399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400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401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402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403</v>
      </c>
    </row>
    <row r="23" spans="1:14" x14ac:dyDescent="0.25">
      <c r="A23" s="3"/>
      <c r="B23" s="3"/>
      <c r="C23" s="4"/>
      <c r="D23" s="3"/>
      <c r="E23" s="3"/>
      <c r="F23" s="3"/>
      <c r="G23" s="3"/>
      <c r="H23" s="3"/>
      <c r="I23" s="3"/>
      <c r="J23" s="3"/>
      <c r="K23" s="3"/>
      <c r="L23" s="3"/>
      <c r="M23" s="3"/>
      <c r="N23" t="s">
        <v>382</v>
      </c>
    </row>
    <row r="24" spans="1:14" x14ac:dyDescent="0.25">
      <c r="A24" s="3"/>
      <c r="B24" s="3"/>
      <c r="C24" s="4"/>
      <c r="D24" s="3"/>
      <c r="E24" s="3"/>
      <c r="F24" s="3"/>
      <c r="G24" s="3"/>
      <c r="H24" s="3"/>
      <c r="I24" s="3"/>
      <c r="J24" s="3"/>
      <c r="K24" s="3"/>
      <c r="L24" s="3"/>
      <c r="M24" s="3"/>
      <c r="N24" t="s">
        <v>383</v>
      </c>
    </row>
    <row r="25" spans="1:14" x14ac:dyDescent="0.25">
      <c r="A25" s="3"/>
      <c r="B25" s="3"/>
      <c r="C25" s="4"/>
      <c r="D25" s="3"/>
      <c r="E25" s="3"/>
      <c r="F25" s="3"/>
      <c r="G25" s="3"/>
      <c r="H25" s="3"/>
      <c r="I25" s="3"/>
      <c r="J25" s="3"/>
      <c r="K25" s="3"/>
      <c r="L25" s="3"/>
      <c r="M25" s="3"/>
      <c r="N25" t="s">
        <v>384</v>
      </c>
    </row>
    <row r="26" spans="1:14" x14ac:dyDescent="0.25">
      <c r="A26" s="3"/>
      <c r="B26" s="3"/>
      <c r="C26" s="4"/>
      <c r="D26" s="3"/>
      <c r="E26" s="3"/>
      <c r="F26" s="3"/>
      <c r="G26" s="3"/>
      <c r="H26" s="3"/>
      <c r="I26" s="3"/>
      <c r="J26" s="3"/>
      <c r="K26" s="3"/>
      <c r="L26" s="3"/>
      <c r="M26" s="3"/>
      <c r="N26" t="s">
        <v>385</v>
      </c>
    </row>
    <row r="27" spans="1:14" x14ac:dyDescent="0.25">
      <c r="A27" s="3"/>
      <c r="B27" s="3"/>
      <c r="C27" s="4"/>
      <c r="D27" s="3"/>
      <c r="E27" s="3"/>
      <c r="F27" s="3"/>
      <c r="G27" s="3"/>
      <c r="H27" s="3"/>
      <c r="I27" s="3"/>
      <c r="J27" s="3"/>
      <c r="K27" s="3"/>
      <c r="L27" s="3"/>
      <c r="M27" s="3"/>
      <c r="N27" t="s">
        <v>396</v>
      </c>
    </row>
    <row r="28" spans="1:14" x14ac:dyDescent="0.25">
      <c r="A28" s="3"/>
      <c r="B28" s="3"/>
      <c r="C28" s="4"/>
      <c r="D28" s="3"/>
      <c r="E28" s="3"/>
      <c r="F28" s="3"/>
      <c r="G28" s="3"/>
      <c r="H28" s="3"/>
      <c r="I28" s="3"/>
      <c r="J28" s="3"/>
      <c r="K28" s="3"/>
      <c r="L28" s="3"/>
      <c r="M28" s="3"/>
      <c r="N28" t="s">
        <v>397</v>
      </c>
    </row>
    <row r="29" spans="1:14" x14ac:dyDescent="0.25">
      <c r="A29" s="3"/>
      <c r="B29" s="3"/>
      <c r="C29" s="4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404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4" x14ac:dyDescent="0.25">
      <c r="A31" s="3"/>
      <c r="B31" s="3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4" x14ac:dyDescent="0.25">
      <c r="A32" s="3"/>
      <c r="B32" s="3"/>
      <c r="C32" s="4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25">
      <c r="A33" s="3"/>
      <c r="B33" s="3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25">
      <c r="A34" s="3"/>
      <c r="B34" s="3"/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25">
      <c r="A36" s="3"/>
      <c r="B36" s="3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25">
      <c r="A37" s="3"/>
      <c r="B37" s="3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4CD4F-9831-43C2-A73D-C7FBB85902C7}">
  <sheetPr codeName="Sheet10">
    <tabColor theme="0" tint="-0.14999847407452621"/>
  </sheetPr>
  <dimension ref="A1:W81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x14ac:dyDescent="0.25"/>
  <cols>
    <col min="1" max="1" width="11" customWidth="1"/>
    <col min="14" max="14" width="68.28515625" bestFit="1" customWidth="1"/>
  </cols>
  <sheetData>
    <row r="1" spans="1:23" ht="30" customHeight="1" x14ac:dyDescent="0.25">
      <c r="A1" s="1" t="s">
        <v>377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407</v>
      </c>
      <c r="U1" s="14" t="b">
        <v>1</v>
      </c>
      <c r="V1" s="14" t="b">
        <v>1</v>
      </c>
      <c r="W1" s="15"/>
    </row>
    <row r="2" spans="1:23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414</v>
      </c>
      <c r="P2" t="s">
        <v>14</v>
      </c>
      <c r="Q2" t="s">
        <v>15</v>
      </c>
    </row>
    <row r="3" spans="1:23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170</v>
      </c>
      <c r="P3" s="5" t="s">
        <v>18</v>
      </c>
      <c r="Q3" s="5">
        <v>45174</v>
      </c>
    </row>
    <row r="4" spans="1:23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171</v>
      </c>
      <c r="P4" t="s">
        <v>21</v>
      </c>
      <c r="Q4" t="s">
        <v>460</v>
      </c>
    </row>
    <row r="5" spans="1:23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415</v>
      </c>
    </row>
    <row r="6" spans="1:23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173</v>
      </c>
    </row>
    <row r="7" spans="1:23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181</v>
      </c>
    </row>
    <row r="8" spans="1:23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434</v>
      </c>
    </row>
    <row r="9" spans="1:23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/>
      <c r="J9" s="3">
        <v>2</v>
      </c>
      <c r="K9" s="3"/>
      <c r="L9" s="3"/>
      <c r="M9" s="3"/>
      <c r="N9" t="s">
        <v>417</v>
      </c>
    </row>
    <row r="10" spans="1:23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418</v>
      </c>
    </row>
    <row r="11" spans="1:23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419</v>
      </c>
    </row>
    <row r="12" spans="1:23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422</v>
      </c>
    </row>
    <row r="13" spans="1:23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423</v>
      </c>
    </row>
    <row r="14" spans="1:23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/>
      <c r="J14" s="3"/>
      <c r="K14" s="3"/>
      <c r="L14" s="3"/>
      <c r="M14" s="3"/>
      <c r="N14" t="s">
        <v>424</v>
      </c>
    </row>
    <row r="15" spans="1:23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425</v>
      </c>
    </row>
    <row r="16" spans="1:23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426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431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432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433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200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165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166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168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416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177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180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/>
      <c r="M27" s="3"/>
      <c r="N27" t="s">
        <v>427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/>
      <c r="M28" s="3"/>
      <c r="N28" t="s">
        <v>428</v>
      </c>
    </row>
    <row r="29" spans="1:14" x14ac:dyDescent="0.25">
      <c r="A29" s="3"/>
      <c r="B29" s="3"/>
      <c r="C29" s="4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167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  <c r="N30" t="s">
        <v>174</v>
      </c>
    </row>
    <row r="31" spans="1:14" x14ac:dyDescent="0.25">
      <c r="A31" s="3"/>
      <c r="B31" s="3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  <c r="N31" t="s">
        <v>175</v>
      </c>
    </row>
    <row r="32" spans="1:14" x14ac:dyDescent="0.25">
      <c r="A32" s="3"/>
      <c r="B32" s="3"/>
      <c r="C32" s="4"/>
      <c r="D32" s="3"/>
      <c r="E32" s="3"/>
      <c r="F32" s="3"/>
      <c r="G32" s="3"/>
      <c r="H32" s="3"/>
      <c r="I32" s="3"/>
      <c r="J32" s="3"/>
      <c r="K32" s="3"/>
      <c r="L32" s="3"/>
      <c r="M32" s="3"/>
      <c r="N32" t="s">
        <v>178</v>
      </c>
    </row>
    <row r="33" spans="1:14" x14ac:dyDescent="0.25">
      <c r="A33" s="3"/>
      <c r="B33" s="3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  <c r="N33" t="s">
        <v>179</v>
      </c>
    </row>
    <row r="34" spans="1:14" x14ac:dyDescent="0.25">
      <c r="A34" s="3"/>
      <c r="B34" s="3"/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  <c r="N34" t="s">
        <v>420</v>
      </c>
    </row>
    <row r="35" spans="1:14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  <c r="N35" t="s">
        <v>421</v>
      </c>
    </row>
    <row r="36" spans="1:14" x14ac:dyDescent="0.25">
      <c r="A36" s="3"/>
      <c r="B36" s="3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  <c r="N36" t="s">
        <v>429</v>
      </c>
    </row>
    <row r="37" spans="1:14" x14ac:dyDescent="0.25">
      <c r="A37" s="3"/>
      <c r="B37" s="3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  <c r="N37" t="s">
        <v>430</v>
      </c>
    </row>
    <row r="38" spans="1:14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4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4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37DA6-E7A3-42E0-B003-DABDAF30F53E}">
  <sheetPr codeName="Sheet13">
    <tabColor theme="0" tint="-0.14999847407452621"/>
  </sheetPr>
  <dimension ref="A1:W81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x14ac:dyDescent="0.25"/>
  <cols>
    <col min="1" max="1" width="11" customWidth="1"/>
    <col min="14" max="14" width="68.28515625" bestFit="1" customWidth="1"/>
  </cols>
  <sheetData>
    <row r="1" spans="1:23" ht="30" customHeight="1" x14ac:dyDescent="0.25">
      <c r="A1" s="1" t="s">
        <v>377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408</v>
      </c>
      <c r="U1" s="14" t="b">
        <v>1</v>
      </c>
      <c r="V1" s="14" t="b">
        <v>1</v>
      </c>
      <c r="W1" s="15"/>
    </row>
    <row r="2" spans="1:23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231</v>
      </c>
      <c r="P2" t="s">
        <v>14</v>
      </c>
      <c r="Q2" t="s">
        <v>15</v>
      </c>
    </row>
    <row r="3" spans="1:23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232</v>
      </c>
      <c r="P3" s="5" t="s">
        <v>18</v>
      </c>
      <c r="Q3" s="5">
        <v>45174</v>
      </c>
    </row>
    <row r="4" spans="1:23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233</v>
      </c>
      <c r="P4" t="s">
        <v>21</v>
      </c>
      <c r="Q4" t="s">
        <v>460</v>
      </c>
    </row>
    <row r="5" spans="1:23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437</v>
      </c>
    </row>
    <row r="6" spans="1:23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235</v>
      </c>
    </row>
    <row r="7" spans="1:23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244</v>
      </c>
    </row>
    <row r="8" spans="1:23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438</v>
      </c>
    </row>
    <row r="9" spans="1:23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/>
      <c r="J9" s="3">
        <v>2</v>
      </c>
      <c r="K9" s="3"/>
      <c r="L9" s="3"/>
      <c r="M9" s="3"/>
      <c r="N9" t="s">
        <v>439</v>
      </c>
    </row>
    <row r="10" spans="1:23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440</v>
      </c>
    </row>
    <row r="11" spans="1:23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441</v>
      </c>
    </row>
    <row r="12" spans="1:23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445</v>
      </c>
    </row>
    <row r="13" spans="1:23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446</v>
      </c>
    </row>
    <row r="14" spans="1:23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/>
      <c r="J14" s="3"/>
      <c r="K14" s="3"/>
      <c r="L14" s="3"/>
      <c r="M14" s="3"/>
      <c r="N14" t="s">
        <v>447</v>
      </c>
    </row>
    <row r="15" spans="1:23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448</v>
      </c>
    </row>
    <row r="16" spans="1:23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449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457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458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459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269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165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166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230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238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239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243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/>
      <c r="M27" s="3"/>
      <c r="N27" t="s">
        <v>450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/>
      <c r="M28" s="3"/>
      <c r="N28" t="s">
        <v>451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/>
      <c r="H29" s="3"/>
      <c r="I29" s="3"/>
      <c r="J29" s="3"/>
      <c r="K29" s="3"/>
      <c r="L29" s="3"/>
      <c r="M29" s="3"/>
      <c r="N29" t="s">
        <v>240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/>
      <c r="H30" s="3"/>
      <c r="I30" s="3"/>
      <c r="J30" s="3"/>
      <c r="K30" s="3"/>
      <c r="L30" s="3"/>
      <c r="M30" s="3"/>
      <c r="N30" t="s">
        <v>247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442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443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452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453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435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436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>
        <v>4</v>
      </c>
      <c r="M37" s="3"/>
      <c r="N37" t="s">
        <v>456</v>
      </c>
    </row>
    <row r="38" spans="1:14" x14ac:dyDescent="0.25">
      <c r="A38" s="3" t="s">
        <v>106</v>
      </c>
      <c r="B38" s="3">
        <v>3</v>
      </c>
      <c r="C38" s="4">
        <v>8</v>
      </c>
      <c r="D38" s="3">
        <v>72</v>
      </c>
      <c r="E38" s="3"/>
      <c r="F38" s="3"/>
      <c r="G38" s="3"/>
      <c r="H38" s="3"/>
      <c r="I38" s="3"/>
      <c r="J38" s="3"/>
      <c r="K38" s="3"/>
      <c r="L38" s="3"/>
      <c r="M38" s="3">
        <v>2</v>
      </c>
      <c r="N38" t="s">
        <v>444</v>
      </c>
    </row>
    <row r="39" spans="1:14" x14ac:dyDescent="0.25">
      <c r="A39" s="3" t="s">
        <v>110</v>
      </c>
      <c r="B39" s="3">
        <v>3</v>
      </c>
      <c r="C39" s="4">
        <v>10</v>
      </c>
      <c r="D39" s="3">
        <v>74</v>
      </c>
      <c r="E39" s="3">
        <v>18</v>
      </c>
      <c r="F39" s="3">
        <v>7</v>
      </c>
      <c r="G39" s="3">
        <v>2</v>
      </c>
      <c r="H39" s="3">
        <v>3</v>
      </c>
      <c r="I39" s="3"/>
      <c r="J39" s="3"/>
      <c r="K39" s="3"/>
      <c r="L39" s="3"/>
      <c r="M39" s="3"/>
      <c r="N39" t="s">
        <v>246</v>
      </c>
    </row>
    <row r="40" spans="1:14" x14ac:dyDescent="0.25">
      <c r="A40" s="3" t="s">
        <v>116</v>
      </c>
      <c r="B40" s="3">
        <v>3</v>
      </c>
      <c r="C40" s="4">
        <v>13</v>
      </c>
      <c r="D40" s="3">
        <v>77</v>
      </c>
      <c r="E40" s="3"/>
      <c r="F40" s="3"/>
      <c r="G40" s="3"/>
      <c r="H40" s="3"/>
      <c r="I40" s="3"/>
      <c r="J40" s="3"/>
      <c r="K40" s="3"/>
      <c r="L40" s="3"/>
      <c r="M40" s="3"/>
      <c r="N40" t="s">
        <v>229</v>
      </c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228</v>
      </c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236</v>
      </c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237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241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242</v>
      </c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429</v>
      </c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430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454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455</v>
      </c>
    </row>
    <row r="50" spans="1:14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296C8-0626-47C8-B9EC-51C8D6C30D03}">
  <sheetPr codeName="Sheet4">
    <tabColor theme="4" tint="0.59999389629810485"/>
  </sheetPr>
  <dimension ref="A1:W81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x14ac:dyDescent="0.25"/>
  <cols>
    <col min="1" max="1" width="11" customWidth="1"/>
    <col min="14" max="14" width="68.28515625" bestFit="1" customWidth="1"/>
  </cols>
  <sheetData>
    <row r="1" spans="1:23" ht="30" customHeight="1" x14ac:dyDescent="0.25">
      <c r="A1" s="1" t="s">
        <v>377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409</v>
      </c>
      <c r="U1" s="14" t="b">
        <v>1</v>
      </c>
      <c r="V1" s="14" t="b">
        <v>1</v>
      </c>
      <c r="W1" s="15"/>
    </row>
    <row r="2" spans="1:23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201</v>
      </c>
      <c r="P2" t="s">
        <v>14</v>
      </c>
      <c r="Q2" t="s">
        <v>15</v>
      </c>
    </row>
    <row r="3" spans="1:23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202</v>
      </c>
      <c r="P3" s="5" t="s">
        <v>18</v>
      </c>
      <c r="Q3" s="5">
        <v>45174</v>
      </c>
    </row>
    <row r="4" spans="1:23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203</v>
      </c>
      <c r="P4" t="s">
        <v>21</v>
      </c>
      <c r="Q4" t="s">
        <v>460</v>
      </c>
    </row>
    <row r="5" spans="1:23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204</v>
      </c>
    </row>
    <row r="6" spans="1:23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/>
      <c r="K6" s="3"/>
      <c r="L6" s="3"/>
      <c r="M6" s="3"/>
      <c r="N6" t="s">
        <v>205</v>
      </c>
    </row>
    <row r="7" spans="1:23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210</v>
      </c>
    </row>
    <row r="8" spans="1:23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211</v>
      </c>
    </row>
    <row r="9" spans="1:23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212</v>
      </c>
    </row>
    <row r="10" spans="1:23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213</v>
      </c>
    </row>
    <row r="11" spans="1:23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214</v>
      </c>
    </row>
    <row r="12" spans="1:23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215</v>
      </c>
    </row>
    <row r="13" spans="1:23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216</v>
      </c>
    </row>
    <row r="14" spans="1:23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217</v>
      </c>
    </row>
    <row r="15" spans="1:23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218</v>
      </c>
    </row>
    <row r="16" spans="1:23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219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222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223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224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225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165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166</v>
      </c>
    </row>
    <row r="23" spans="1:14" x14ac:dyDescent="0.25">
      <c r="A23" s="3"/>
      <c r="B23" s="3"/>
      <c r="C23" s="4"/>
      <c r="D23" s="3"/>
      <c r="E23" s="3"/>
      <c r="F23" s="3"/>
      <c r="G23" s="3"/>
      <c r="H23" s="3"/>
      <c r="I23" s="3"/>
      <c r="J23" s="3"/>
      <c r="K23" s="3"/>
      <c r="L23" s="3"/>
      <c r="M23" s="3"/>
      <c r="N23" t="s">
        <v>167</v>
      </c>
    </row>
    <row r="24" spans="1:14" x14ac:dyDescent="0.25">
      <c r="A24" s="3"/>
      <c r="B24" s="3"/>
      <c r="C24" s="4"/>
      <c r="D24" s="3"/>
      <c r="E24" s="3"/>
      <c r="F24" s="3"/>
      <c r="G24" s="3"/>
      <c r="H24" s="3"/>
      <c r="I24" s="3"/>
      <c r="J24" s="3"/>
      <c r="K24" s="3"/>
      <c r="L24" s="3"/>
      <c r="M24" s="3"/>
      <c r="N24" t="s">
        <v>206</v>
      </c>
    </row>
    <row r="25" spans="1:14" x14ac:dyDescent="0.25">
      <c r="A25" s="3"/>
      <c r="B25" s="3"/>
      <c r="C25" s="4"/>
      <c r="D25" s="3"/>
      <c r="E25" s="3"/>
      <c r="F25" s="3"/>
      <c r="G25" s="3"/>
      <c r="H25" s="3"/>
      <c r="I25" s="3"/>
      <c r="J25" s="3"/>
      <c r="K25" s="3"/>
      <c r="L25" s="3"/>
      <c r="M25" s="3"/>
      <c r="N25" t="s">
        <v>207</v>
      </c>
    </row>
    <row r="26" spans="1:14" x14ac:dyDescent="0.25">
      <c r="A26" s="3"/>
      <c r="B26" s="3"/>
      <c r="C26" s="4"/>
      <c r="D26" s="3"/>
      <c r="E26" s="3"/>
      <c r="F26" s="3"/>
      <c r="G26" s="3"/>
      <c r="H26" s="3"/>
      <c r="I26" s="3"/>
      <c r="J26" s="3"/>
      <c r="K26" s="3"/>
      <c r="L26" s="3"/>
      <c r="M26" s="3"/>
      <c r="N26" t="s">
        <v>208</v>
      </c>
    </row>
    <row r="27" spans="1:14" x14ac:dyDescent="0.25">
      <c r="A27" s="3"/>
      <c r="B27" s="3"/>
      <c r="C27" s="4"/>
      <c r="D27" s="3"/>
      <c r="E27" s="3"/>
      <c r="F27" s="3"/>
      <c r="G27" s="3"/>
      <c r="H27" s="3"/>
      <c r="I27" s="3"/>
      <c r="J27" s="3"/>
      <c r="K27" s="3"/>
      <c r="L27" s="3"/>
      <c r="M27" s="3"/>
      <c r="N27" t="s">
        <v>209</v>
      </c>
    </row>
    <row r="28" spans="1:14" x14ac:dyDescent="0.25">
      <c r="A28" s="3"/>
      <c r="B28" s="3"/>
      <c r="C28" s="4"/>
      <c r="D28" s="3"/>
      <c r="E28" s="3"/>
      <c r="F28" s="3"/>
      <c r="G28" s="3"/>
      <c r="H28" s="3"/>
      <c r="I28" s="3"/>
      <c r="J28" s="3"/>
      <c r="K28" s="3"/>
      <c r="L28" s="3"/>
      <c r="M28" s="3"/>
      <c r="N28" t="s">
        <v>220</v>
      </c>
    </row>
    <row r="29" spans="1:14" x14ac:dyDescent="0.25">
      <c r="A29" s="3"/>
      <c r="B29" s="3"/>
      <c r="C29" s="4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221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4" x14ac:dyDescent="0.25">
      <c r="A31" s="3"/>
      <c r="B31" s="3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4" x14ac:dyDescent="0.25">
      <c r="A32" s="3"/>
      <c r="B32" s="3"/>
      <c r="C32" s="4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25">
      <c r="A33" s="3"/>
      <c r="B33" s="3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25">
      <c r="A34" s="3"/>
      <c r="B34" s="3"/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25">
      <c r="A36" s="3"/>
      <c r="B36" s="3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25">
      <c r="A37" s="3"/>
      <c r="B37" s="3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eck Box 5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Check Box 6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BE10-E922-4DD2-B0E3-A47667B23E92}">
  <sheetPr codeName="Sheet5">
    <tabColor theme="4" tint="0.59999389629810485"/>
  </sheetPr>
  <dimension ref="A1:V81"/>
  <sheetViews>
    <sheetView workbookViewId="0">
      <pane ySplit="1" topLeftCell="A2" activePane="bottomLeft" state="frozen"/>
      <selection activeCell="B7" sqref="B7"/>
      <selection pane="bottomLeft" activeCell="Q4" sqref="Q4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410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169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170</v>
      </c>
      <c r="P3" s="5" t="s">
        <v>18</v>
      </c>
      <c r="Q3" s="5">
        <v>45174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171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172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173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181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182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183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184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185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>
        <v>6</v>
      </c>
      <c r="M12" s="3"/>
      <c r="N12" t="s">
        <v>188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>
        <v>6</v>
      </c>
      <c r="M13" s="3"/>
      <c r="N13" t="s">
        <v>189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190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191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192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197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198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199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200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165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166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168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176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177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180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193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194</v>
      </c>
    </row>
    <row r="29" spans="1:14" x14ac:dyDescent="0.25">
      <c r="A29" s="3"/>
      <c r="B29" s="3"/>
      <c r="C29" s="4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167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  <c r="N30" t="s">
        <v>174</v>
      </c>
    </row>
    <row r="31" spans="1:14" x14ac:dyDescent="0.25">
      <c r="A31" s="3"/>
      <c r="B31" s="3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  <c r="N31" t="s">
        <v>175</v>
      </c>
    </row>
    <row r="32" spans="1:14" x14ac:dyDescent="0.25">
      <c r="A32" s="3"/>
      <c r="B32" s="3"/>
      <c r="C32" s="4"/>
      <c r="D32" s="3"/>
      <c r="E32" s="3"/>
      <c r="F32" s="3"/>
      <c r="G32" s="3"/>
      <c r="H32" s="3"/>
      <c r="I32" s="3"/>
      <c r="J32" s="3"/>
      <c r="K32" s="3"/>
      <c r="L32" s="3"/>
      <c r="M32" s="3"/>
      <c r="N32" t="s">
        <v>178</v>
      </c>
    </row>
    <row r="33" spans="1:14" x14ac:dyDescent="0.25">
      <c r="A33" s="3"/>
      <c r="B33" s="3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  <c r="N33" t="s">
        <v>179</v>
      </c>
    </row>
    <row r="34" spans="1:14" x14ac:dyDescent="0.25">
      <c r="A34" s="3"/>
      <c r="B34" s="3"/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  <c r="N34" t="s">
        <v>186</v>
      </c>
    </row>
    <row r="35" spans="1:14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  <c r="N35" t="s">
        <v>187</v>
      </c>
    </row>
    <row r="36" spans="1:14" x14ac:dyDescent="0.25">
      <c r="A36" s="3"/>
      <c r="B36" s="3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  <c r="N36" t="s">
        <v>195</v>
      </c>
    </row>
    <row r="37" spans="1:14" x14ac:dyDescent="0.25">
      <c r="A37" s="3"/>
      <c r="B37" s="3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  <c r="N37" t="s">
        <v>196</v>
      </c>
    </row>
    <row r="38" spans="1:14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4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4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heck Box 4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Check Box 5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SaveFile">
                <anchor moveWithCells="1" sizeWithCells="1">
                  <from>
                    <xdr:col>15</xdr:col>
                    <xdr:colOff>333375</xdr:colOff>
                    <xdr:row>9</xdr:row>
                    <xdr:rowOff>114300</xdr:rowOff>
                  </from>
                  <to>
                    <xdr:col>17</xdr:col>
                    <xdr:colOff>419100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CD6E5-3AA2-4AB5-8301-24084E3E9852}">
  <sheetPr codeName="Sheet6">
    <tabColor theme="4" tint="0.59999389629810485"/>
  </sheetPr>
  <dimension ref="A1:V81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411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231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232</v>
      </c>
      <c r="P3" t="s">
        <v>18</v>
      </c>
      <c r="Q3" s="5">
        <v>45174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233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234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235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244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245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248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249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250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>
        <v>6</v>
      </c>
      <c r="M12" s="3"/>
      <c r="N12" t="s">
        <v>254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>
        <v>6</v>
      </c>
      <c r="M13" s="3"/>
      <c r="N13" t="s">
        <v>255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256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257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258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266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267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268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269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165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166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230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238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239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243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259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260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/>
      <c r="H29" s="3"/>
      <c r="I29" s="3"/>
      <c r="J29" s="3"/>
      <c r="K29" s="3"/>
      <c r="L29" s="3"/>
      <c r="M29" s="3"/>
      <c r="N29" t="s">
        <v>240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/>
      <c r="H30" s="3"/>
      <c r="I30" s="3"/>
      <c r="J30" s="3"/>
      <c r="K30" s="3"/>
      <c r="L30" s="3"/>
      <c r="M30" s="3"/>
      <c r="N30" t="s">
        <v>247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251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252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261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262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226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227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>
        <v>4</v>
      </c>
      <c r="M37" s="3"/>
      <c r="N37" t="s">
        <v>265</v>
      </c>
    </row>
    <row r="38" spans="1:14" x14ac:dyDescent="0.25">
      <c r="A38" s="3" t="s">
        <v>106</v>
      </c>
      <c r="B38" s="3">
        <v>3</v>
      </c>
      <c r="C38" s="4">
        <v>8</v>
      </c>
      <c r="D38" s="3">
        <v>72</v>
      </c>
      <c r="E38" s="3"/>
      <c r="F38" s="3"/>
      <c r="G38" s="3"/>
      <c r="H38" s="3"/>
      <c r="I38" s="3"/>
      <c r="J38" s="3"/>
      <c r="K38" s="3"/>
      <c r="L38" s="3"/>
      <c r="M38" s="3">
        <v>2</v>
      </c>
      <c r="N38" t="s">
        <v>253</v>
      </c>
    </row>
    <row r="39" spans="1:14" x14ac:dyDescent="0.25">
      <c r="A39" s="3" t="s">
        <v>110</v>
      </c>
      <c r="B39" s="3">
        <v>3</v>
      </c>
      <c r="C39" s="4">
        <v>10</v>
      </c>
      <c r="D39" s="3">
        <v>74</v>
      </c>
      <c r="E39" s="3">
        <v>18</v>
      </c>
      <c r="F39" s="3">
        <v>7</v>
      </c>
      <c r="G39" s="3">
        <v>2</v>
      </c>
      <c r="H39" s="3">
        <v>3</v>
      </c>
      <c r="I39" s="3"/>
      <c r="J39" s="3"/>
      <c r="K39" s="3"/>
      <c r="L39" s="3"/>
      <c r="M39" s="3"/>
      <c r="N39" t="s">
        <v>246</v>
      </c>
    </row>
    <row r="40" spans="1:14" x14ac:dyDescent="0.25">
      <c r="A40" s="3" t="s">
        <v>116</v>
      </c>
      <c r="B40" s="3">
        <v>3</v>
      </c>
      <c r="C40" s="4">
        <v>13</v>
      </c>
      <c r="D40" s="3">
        <v>77</v>
      </c>
      <c r="E40" s="3"/>
      <c r="F40" s="3"/>
      <c r="G40" s="3"/>
      <c r="H40" s="3"/>
      <c r="I40" s="3"/>
      <c r="J40" s="3"/>
      <c r="K40" s="3"/>
      <c r="L40" s="3"/>
      <c r="M40" s="3"/>
      <c r="N40" t="s">
        <v>229</v>
      </c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228</v>
      </c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236</v>
      </c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237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241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242</v>
      </c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263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264</v>
      </c>
    </row>
    <row r="50" spans="1:14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5BF23-F681-4965-8AEE-992A978494E3}">
  <sheetPr codeName="Sheet15">
    <tabColor theme="4" tint="0.59999389629810485"/>
  </sheetPr>
  <dimension ref="A1:V81"/>
  <sheetViews>
    <sheetView tabSelected="1" workbookViewId="0">
      <pane ySplit="1" topLeftCell="A2" activePane="bottomLeft" state="frozen"/>
      <selection activeCell="B7" sqref="B7"/>
      <selection pane="bottomLeft" activeCell="S3" sqref="S3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732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475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476</v>
      </c>
      <c r="P3" t="s">
        <v>18</v>
      </c>
      <c r="Q3" s="5">
        <v>45174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477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478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479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489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490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494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495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496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506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507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508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509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510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522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523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524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525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55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463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474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483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484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488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511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512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/>
      <c r="H29" s="3"/>
      <c r="I29" s="3"/>
      <c r="J29" s="3"/>
      <c r="K29" s="3"/>
      <c r="L29" s="3"/>
      <c r="M29" s="3"/>
      <c r="N29" t="s">
        <v>485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/>
      <c r="H30" s="3"/>
      <c r="I30" s="3"/>
      <c r="J30" s="3"/>
      <c r="K30" s="3"/>
      <c r="L30" s="3"/>
      <c r="M30" s="3"/>
      <c r="N30" t="s">
        <v>493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497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498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513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514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464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465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6</v>
      </c>
      <c r="M37" s="3"/>
      <c r="N37" t="s">
        <v>466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6</v>
      </c>
      <c r="M38" s="3"/>
      <c r="N38" t="s">
        <v>467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521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520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519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>
        <v>3</v>
      </c>
      <c r="J42" s="3"/>
      <c r="K42" s="3"/>
      <c r="L42" s="3"/>
      <c r="M42" s="3"/>
      <c r="N42" t="s">
        <v>516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>
        <v>3</v>
      </c>
      <c r="J43" s="3"/>
      <c r="K43" s="3"/>
      <c r="L43" s="3"/>
      <c r="M43" s="3"/>
      <c r="N43" t="s">
        <v>515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505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504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503</v>
      </c>
    </row>
    <row r="47" spans="1:14" x14ac:dyDescent="0.25">
      <c r="A47" s="3" t="s">
        <v>106</v>
      </c>
      <c r="B47" s="3">
        <v>3</v>
      </c>
      <c r="C47" s="4">
        <v>8</v>
      </c>
      <c r="D47" s="3">
        <v>72</v>
      </c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500</v>
      </c>
    </row>
    <row r="48" spans="1:14" x14ac:dyDescent="0.25">
      <c r="A48" s="3" t="s">
        <v>108</v>
      </c>
      <c r="B48" s="3">
        <v>3</v>
      </c>
      <c r="C48" s="4">
        <v>9</v>
      </c>
      <c r="D48" s="3">
        <v>73</v>
      </c>
      <c r="E48" s="3"/>
      <c r="F48" s="3"/>
      <c r="G48" s="3"/>
      <c r="H48" s="3"/>
      <c r="I48" s="3"/>
      <c r="J48" s="3"/>
      <c r="K48" s="3"/>
      <c r="L48" s="3"/>
      <c r="M48" s="3"/>
      <c r="N48" t="s">
        <v>499</v>
      </c>
    </row>
    <row r="49" spans="1:14" x14ac:dyDescent="0.25">
      <c r="A49" s="3" t="s">
        <v>110</v>
      </c>
      <c r="B49" s="3">
        <v>3</v>
      </c>
      <c r="C49" s="4">
        <v>10</v>
      </c>
      <c r="D49" s="3">
        <v>74</v>
      </c>
      <c r="E49" s="3">
        <v>18</v>
      </c>
      <c r="F49" s="3">
        <v>7</v>
      </c>
      <c r="G49" s="3">
        <v>2</v>
      </c>
      <c r="H49" s="3">
        <v>3</v>
      </c>
      <c r="I49" s="3"/>
      <c r="J49" s="3"/>
      <c r="K49" s="3"/>
      <c r="L49" s="3"/>
      <c r="M49" s="3"/>
      <c r="N49" t="s">
        <v>492</v>
      </c>
    </row>
    <row r="50" spans="1:14" x14ac:dyDescent="0.25">
      <c r="A50" s="3" t="s">
        <v>112</v>
      </c>
      <c r="B50" s="3">
        <v>3</v>
      </c>
      <c r="C50" s="4">
        <v>11</v>
      </c>
      <c r="D50" s="3">
        <v>75</v>
      </c>
      <c r="E50" s="3">
        <v>19</v>
      </c>
      <c r="F50" s="3">
        <v>7</v>
      </c>
      <c r="G50" s="3">
        <v>2</v>
      </c>
      <c r="H50" s="3">
        <v>2</v>
      </c>
      <c r="I50" s="3"/>
      <c r="J50" s="3"/>
      <c r="K50" s="3"/>
      <c r="L50" s="3"/>
      <c r="M50" s="3"/>
      <c r="N50" t="s">
        <v>491</v>
      </c>
    </row>
    <row r="51" spans="1:14" x14ac:dyDescent="0.25">
      <c r="A51" s="3" t="s">
        <v>114</v>
      </c>
      <c r="B51" s="3">
        <v>3</v>
      </c>
      <c r="C51" s="4">
        <v>12</v>
      </c>
      <c r="D51" s="3">
        <v>76</v>
      </c>
      <c r="E51" s="3"/>
      <c r="F51" s="3"/>
      <c r="G51" s="3"/>
      <c r="H51" s="3"/>
      <c r="I51" s="3"/>
      <c r="J51" s="3"/>
      <c r="K51" s="3"/>
      <c r="L51" s="3"/>
      <c r="M51" s="3"/>
      <c r="N51" t="s">
        <v>482</v>
      </c>
    </row>
    <row r="52" spans="1:14" x14ac:dyDescent="0.25">
      <c r="A52" s="3" t="s">
        <v>116</v>
      </c>
      <c r="B52" s="3">
        <v>3</v>
      </c>
      <c r="C52" s="4">
        <v>13</v>
      </c>
      <c r="D52" s="3">
        <v>77</v>
      </c>
      <c r="E52" s="3"/>
      <c r="F52" s="3"/>
      <c r="G52" s="3"/>
      <c r="H52" s="3"/>
      <c r="I52" s="3"/>
      <c r="J52" s="3"/>
      <c r="K52" s="3"/>
      <c r="L52" s="3"/>
      <c r="M52" s="3"/>
      <c r="N52" t="s">
        <v>473</v>
      </c>
    </row>
    <row r="53" spans="1:14" x14ac:dyDescent="0.25">
      <c r="A53" s="3" t="s">
        <v>118</v>
      </c>
      <c r="B53" s="3">
        <v>3</v>
      </c>
      <c r="C53" s="4">
        <v>14</v>
      </c>
      <c r="D53" s="3">
        <v>78</v>
      </c>
      <c r="E53" s="3"/>
      <c r="F53" s="3"/>
      <c r="G53" s="3"/>
      <c r="H53" s="3"/>
      <c r="I53" s="3"/>
      <c r="J53" s="3"/>
      <c r="K53" s="3"/>
      <c r="L53" s="3"/>
      <c r="M53" s="3"/>
      <c r="N53" t="s">
        <v>472</v>
      </c>
    </row>
    <row r="54" spans="1:14" x14ac:dyDescent="0.25">
      <c r="A54" s="3" t="s">
        <v>120</v>
      </c>
      <c r="B54" s="3">
        <v>3</v>
      </c>
      <c r="C54" s="4">
        <v>15</v>
      </c>
      <c r="D54" s="3">
        <v>79</v>
      </c>
      <c r="E54" s="3"/>
      <c r="F54" s="3"/>
      <c r="G54" s="3"/>
      <c r="H54" s="3"/>
      <c r="I54" s="3"/>
      <c r="J54" s="3"/>
      <c r="K54" s="3"/>
      <c r="L54" s="3"/>
      <c r="M54" s="3"/>
      <c r="N54" t="s">
        <v>469</v>
      </c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468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470</v>
      </c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471</v>
      </c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480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481</v>
      </c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486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487</v>
      </c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0746F-D986-49D4-B8CE-54B31EE68EFC}">
  <sheetPr codeName="Sheet8">
    <tabColor theme="4" tint="0.59999389629810485"/>
  </sheetPr>
  <dimension ref="A1:V81"/>
  <sheetViews>
    <sheetView workbookViewId="0">
      <pane ySplit="1" topLeftCell="A5" activePane="bottomLeft" state="frozen"/>
      <selection activeCell="B7" sqref="B7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412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13</v>
      </c>
      <c r="O2" t="s">
        <v>14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17</v>
      </c>
      <c r="O3" t="s">
        <v>18</v>
      </c>
      <c r="P3" s="5" t="s">
        <v>18</v>
      </c>
      <c r="Q3" s="5">
        <v>45174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20</v>
      </c>
      <c r="O4" t="s">
        <v>21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>
        <v>2</v>
      </c>
      <c r="H5" s="3">
        <v>1</v>
      </c>
      <c r="I5" s="3"/>
      <c r="J5" s="3"/>
      <c r="K5" s="3"/>
      <c r="L5" s="3"/>
      <c r="M5" s="3"/>
      <c r="N5" t="s">
        <v>23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25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27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29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31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>
        <v>2</v>
      </c>
      <c r="K10" s="3"/>
      <c r="L10" s="3"/>
      <c r="M10" s="3"/>
      <c r="N10" t="s">
        <v>33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35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37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7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41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43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45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47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49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51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53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55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57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59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61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63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65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67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69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/>
      <c r="H29" s="3"/>
      <c r="I29" s="3"/>
      <c r="J29" s="3"/>
      <c r="K29" s="3"/>
      <c r="L29" s="3"/>
      <c r="M29" s="3"/>
      <c r="N29" t="s">
        <v>71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/>
      <c r="H30" s="3"/>
      <c r="I30" s="3"/>
      <c r="J30" s="3"/>
      <c r="K30" s="3"/>
      <c r="L30" s="3"/>
      <c r="M30" s="3"/>
      <c r="N30" t="s">
        <v>73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75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77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79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81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83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85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6</v>
      </c>
      <c r="M37" s="3"/>
      <c r="N37" t="s">
        <v>87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6</v>
      </c>
      <c r="M38" s="3"/>
      <c r="N38" t="s">
        <v>89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91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93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95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>
        <v>3</v>
      </c>
      <c r="J42" s="3"/>
      <c r="K42" s="3"/>
      <c r="L42" s="3"/>
      <c r="M42" s="3"/>
      <c r="N42" t="s">
        <v>97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>
        <v>3</v>
      </c>
      <c r="J43" s="3"/>
      <c r="K43" s="3"/>
      <c r="L43" s="3"/>
      <c r="M43" s="3"/>
      <c r="N43" t="s">
        <v>99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101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103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105</v>
      </c>
    </row>
    <row r="47" spans="1:14" x14ac:dyDescent="0.25">
      <c r="A47" s="3" t="s">
        <v>106</v>
      </c>
      <c r="B47" s="3">
        <v>3</v>
      </c>
      <c r="C47" s="4">
        <v>8</v>
      </c>
      <c r="D47" s="3">
        <v>72</v>
      </c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107</v>
      </c>
    </row>
    <row r="48" spans="1:14" x14ac:dyDescent="0.25">
      <c r="A48" s="3" t="s">
        <v>108</v>
      </c>
      <c r="B48" s="3">
        <v>3</v>
      </c>
      <c r="C48" s="4">
        <v>9</v>
      </c>
      <c r="D48" s="3">
        <v>73</v>
      </c>
      <c r="E48" s="3"/>
      <c r="F48" s="3"/>
      <c r="G48" s="3"/>
      <c r="H48" s="3"/>
      <c r="I48" s="3"/>
      <c r="J48" s="3"/>
      <c r="K48" s="3"/>
      <c r="L48" s="3"/>
      <c r="M48" s="3"/>
      <c r="N48" t="s">
        <v>109</v>
      </c>
    </row>
    <row r="49" spans="1:14" x14ac:dyDescent="0.25">
      <c r="A49" s="3" t="s">
        <v>110</v>
      </c>
      <c r="B49" s="3">
        <v>3</v>
      </c>
      <c r="C49" s="4">
        <v>10</v>
      </c>
      <c r="D49" s="3">
        <v>74</v>
      </c>
      <c r="E49" s="3">
        <v>18</v>
      </c>
      <c r="F49" s="3">
        <v>7</v>
      </c>
      <c r="G49" s="3">
        <v>2</v>
      </c>
      <c r="H49" s="3">
        <v>3</v>
      </c>
      <c r="I49" s="3"/>
      <c r="J49" s="3"/>
      <c r="K49" s="3"/>
      <c r="L49" s="3"/>
      <c r="M49" s="3"/>
      <c r="N49" t="s">
        <v>111</v>
      </c>
    </row>
    <row r="50" spans="1:14" x14ac:dyDescent="0.25">
      <c r="A50" s="3" t="s">
        <v>112</v>
      </c>
      <c r="B50" s="3">
        <v>3</v>
      </c>
      <c r="C50" s="4">
        <v>11</v>
      </c>
      <c r="D50" s="3">
        <v>75</v>
      </c>
      <c r="E50" s="3">
        <v>19</v>
      </c>
      <c r="F50" s="3">
        <v>7</v>
      </c>
      <c r="G50" s="3">
        <v>2</v>
      </c>
      <c r="H50" s="3">
        <v>2</v>
      </c>
      <c r="I50" s="3"/>
      <c r="J50" s="3"/>
      <c r="K50" s="3"/>
      <c r="L50" s="3"/>
      <c r="M50" s="3"/>
      <c r="N50" t="s">
        <v>113</v>
      </c>
    </row>
    <row r="51" spans="1:14" x14ac:dyDescent="0.25">
      <c r="A51" s="3" t="s">
        <v>114</v>
      </c>
      <c r="B51" s="3">
        <v>3</v>
      </c>
      <c r="C51" s="4">
        <v>12</v>
      </c>
      <c r="D51" s="3">
        <v>76</v>
      </c>
      <c r="E51" s="3"/>
      <c r="F51" s="3"/>
      <c r="G51" s="3"/>
      <c r="H51" s="3"/>
      <c r="I51" s="3"/>
      <c r="J51" s="3"/>
      <c r="K51" s="3"/>
      <c r="L51" s="3"/>
      <c r="M51" s="3"/>
      <c r="N51" t="s">
        <v>115</v>
      </c>
    </row>
    <row r="52" spans="1:14" x14ac:dyDescent="0.25">
      <c r="A52" s="3" t="s">
        <v>116</v>
      </c>
      <c r="B52" s="3">
        <v>3</v>
      </c>
      <c r="C52" s="4">
        <v>13</v>
      </c>
      <c r="D52" s="3">
        <v>77</v>
      </c>
      <c r="E52" s="3"/>
      <c r="F52" s="3"/>
      <c r="G52" s="3"/>
      <c r="H52" s="3"/>
      <c r="I52" s="3"/>
      <c r="J52" s="3"/>
      <c r="K52" s="3"/>
      <c r="L52" s="3"/>
      <c r="M52" s="3"/>
      <c r="N52" t="s">
        <v>117</v>
      </c>
    </row>
    <row r="53" spans="1:14" x14ac:dyDescent="0.25">
      <c r="A53" s="3" t="s">
        <v>118</v>
      </c>
      <c r="B53" s="3">
        <v>3</v>
      </c>
      <c r="C53" s="4">
        <v>14</v>
      </c>
      <c r="D53" s="3">
        <v>78</v>
      </c>
      <c r="E53" s="3"/>
      <c r="F53" s="3"/>
      <c r="G53" s="3"/>
      <c r="H53" s="3"/>
      <c r="I53" s="3"/>
      <c r="J53" s="3"/>
      <c r="K53" s="3"/>
      <c r="L53" s="3"/>
      <c r="M53" s="3"/>
      <c r="N53" t="s">
        <v>119</v>
      </c>
    </row>
    <row r="54" spans="1:14" x14ac:dyDescent="0.25">
      <c r="A54" s="3" t="s">
        <v>120</v>
      </c>
      <c r="B54" s="3">
        <v>3</v>
      </c>
      <c r="C54" s="4">
        <v>15</v>
      </c>
      <c r="D54" s="3">
        <v>79</v>
      </c>
      <c r="E54" s="3"/>
      <c r="F54" s="3"/>
      <c r="G54" s="3"/>
      <c r="H54" s="3"/>
      <c r="I54" s="3"/>
      <c r="J54" s="3"/>
      <c r="K54" s="3"/>
      <c r="L54" s="3"/>
      <c r="M54" s="3"/>
      <c r="N54" t="s">
        <v>121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>
        <v>20</v>
      </c>
      <c r="F55" s="3">
        <v>7</v>
      </c>
      <c r="G55" s="3"/>
      <c r="H55" s="3"/>
      <c r="I55" s="3"/>
      <c r="J55" s="3"/>
      <c r="K55" s="3"/>
      <c r="L55" s="3"/>
      <c r="M55" s="3"/>
      <c r="N55" t="s">
        <v>123</v>
      </c>
    </row>
    <row r="56" spans="1:14" x14ac:dyDescent="0.25">
      <c r="A56" s="3" t="s">
        <v>124</v>
      </c>
      <c r="B56" s="3">
        <v>4</v>
      </c>
      <c r="C56" s="4">
        <v>1</v>
      </c>
      <c r="D56" s="3"/>
      <c r="E56" s="3">
        <v>21</v>
      </c>
      <c r="F56" s="3">
        <v>7</v>
      </c>
      <c r="G56" s="3"/>
      <c r="H56" s="3"/>
      <c r="I56" s="3"/>
      <c r="J56" s="3"/>
      <c r="K56" s="3"/>
      <c r="L56" s="3"/>
      <c r="M56" s="3"/>
      <c r="N56" t="s">
        <v>125</v>
      </c>
    </row>
    <row r="57" spans="1:14" x14ac:dyDescent="0.25">
      <c r="A57" s="3" t="s">
        <v>126</v>
      </c>
      <c r="B57" s="3">
        <v>4</v>
      </c>
      <c r="C57" s="4">
        <v>2</v>
      </c>
      <c r="D57" s="3"/>
      <c r="E57" s="3">
        <v>22</v>
      </c>
      <c r="F57" s="3">
        <v>7</v>
      </c>
      <c r="G57" s="3"/>
      <c r="H57" s="3"/>
      <c r="I57" s="3"/>
      <c r="J57" s="3"/>
      <c r="K57" s="3"/>
      <c r="L57" s="3"/>
      <c r="M57" s="3"/>
      <c r="N57" t="s">
        <v>127</v>
      </c>
    </row>
    <row r="58" spans="1:14" x14ac:dyDescent="0.25">
      <c r="A58" s="3" t="s">
        <v>128</v>
      </c>
      <c r="B58" s="3">
        <v>4</v>
      </c>
      <c r="C58" s="4">
        <v>3</v>
      </c>
      <c r="D58" s="3"/>
      <c r="E58" s="3">
        <v>23</v>
      </c>
      <c r="F58" s="3">
        <v>7</v>
      </c>
      <c r="G58" s="3"/>
      <c r="H58" s="3"/>
      <c r="I58" s="3"/>
      <c r="J58" s="3"/>
      <c r="K58" s="3"/>
      <c r="L58" s="3"/>
      <c r="M58" s="3"/>
      <c r="N58" t="s">
        <v>129</v>
      </c>
    </row>
    <row r="59" spans="1:14" x14ac:dyDescent="0.25">
      <c r="A59" s="3" t="s">
        <v>130</v>
      </c>
      <c r="B59" s="3">
        <v>4</v>
      </c>
      <c r="C59" s="4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131</v>
      </c>
    </row>
    <row r="60" spans="1:14" x14ac:dyDescent="0.25">
      <c r="A60" s="3" t="s">
        <v>132</v>
      </c>
      <c r="B60" s="3">
        <v>4</v>
      </c>
      <c r="C60" s="4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133</v>
      </c>
    </row>
    <row r="61" spans="1:14" x14ac:dyDescent="0.25">
      <c r="A61" s="3" t="s">
        <v>134</v>
      </c>
      <c r="B61" s="3">
        <v>4</v>
      </c>
      <c r="C61" s="4">
        <v>6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135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137</v>
      </c>
    </row>
    <row r="63" spans="1:14" x14ac:dyDescent="0.25">
      <c r="A63" s="3" t="s">
        <v>138</v>
      </c>
      <c r="B63" s="3">
        <v>4</v>
      </c>
      <c r="C63" s="4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139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141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143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145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147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149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151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153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154</v>
      </c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155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156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157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158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159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160</v>
      </c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161</v>
      </c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162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163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D34A1-3BF6-4D37-90B9-AA89933A0224}">
  <sheetPr codeName="Sheet7">
    <tabColor rgb="FFFF99FF"/>
  </sheetPr>
  <dimension ref="A1:V81"/>
  <sheetViews>
    <sheetView workbookViewId="0">
      <pane ySplit="1" topLeftCell="A2" activePane="bottomLeft" state="frozen"/>
      <selection pane="bottomLeft" activeCell="N2" sqref="N2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731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231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232</v>
      </c>
      <c r="P3" t="s">
        <v>18</v>
      </c>
      <c r="Q3" s="5">
        <v>45174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233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527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528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244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605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537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538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250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>
        <v>6</v>
      </c>
      <c r="M12" s="3"/>
      <c r="N12" t="s">
        <v>254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>
        <v>6</v>
      </c>
      <c r="M13" s="3"/>
      <c r="N13" t="s">
        <v>255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539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540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607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606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267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268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269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165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166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230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529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530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534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259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260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>
        <v>1</v>
      </c>
      <c r="H29" s="3">
        <v>4</v>
      </c>
      <c r="I29" s="3"/>
      <c r="J29" s="3"/>
      <c r="K29" s="3"/>
      <c r="L29" s="3"/>
      <c r="M29" s="3"/>
      <c r="N29" t="s">
        <v>531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>
        <v>2</v>
      </c>
      <c r="H30" s="3">
        <v>4</v>
      </c>
      <c r="I30" s="3"/>
      <c r="J30" s="3"/>
      <c r="K30" s="3"/>
      <c r="L30" s="3"/>
      <c r="M30" s="3"/>
      <c r="N30" t="s">
        <v>536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251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252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261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262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226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227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>
        <v>4</v>
      </c>
      <c r="M37" s="3"/>
      <c r="N37" t="s">
        <v>265</v>
      </c>
    </row>
    <row r="38" spans="1:14" x14ac:dyDescent="0.25">
      <c r="A38" s="3" t="s">
        <v>106</v>
      </c>
      <c r="B38" s="3">
        <v>3</v>
      </c>
      <c r="C38" s="4">
        <v>8</v>
      </c>
      <c r="D38" s="3">
        <v>72</v>
      </c>
      <c r="E38" s="3"/>
      <c r="F38" s="3"/>
      <c r="G38" s="3"/>
      <c r="H38" s="3"/>
      <c r="I38" s="3"/>
      <c r="J38" s="3"/>
      <c r="K38" s="3"/>
      <c r="L38" s="3"/>
      <c r="M38" s="3">
        <v>2</v>
      </c>
      <c r="N38" t="s">
        <v>253</v>
      </c>
    </row>
    <row r="39" spans="1:14" x14ac:dyDescent="0.25">
      <c r="A39" s="3" t="s">
        <v>110</v>
      </c>
      <c r="B39" s="3">
        <v>3</v>
      </c>
      <c r="C39" s="4">
        <v>10</v>
      </c>
      <c r="D39" s="3">
        <v>74</v>
      </c>
      <c r="E39" s="3">
        <v>18</v>
      </c>
      <c r="F39" s="3">
        <v>7</v>
      </c>
      <c r="G39" s="3">
        <v>2</v>
      </c>
      <c r="H39" s="3">
        <v>3</v>
      </c>
      <c r="I39" s="3"/>
      <c r="J39" s="3"/>
      <c r="K39" s="3"/>
      <c r="L39" s="3"/>
      <c r="M39" s="3"/>
      <c r="N39" t="s">
        <v>535</v>
      </c>
    </row>
    <row r="40" spans="1:14" x14ac:dyDescent="0.25">
      <c r="A40" s="3" t="s">
        <v>116</v>
      </c>
      <c r="B40" s="3">
        <v>3</v>
      </c>
      <c r="C40" s="4">
        <v>13</v>
      </c>
      <c r="D40" s="3">
        <v>77</v>
      </c>
      <c r="E40" s="3"/>
      <c r="F40" s="3"/>
      <c r="G40" s="3">
        <v>1</v>
      </c>
      <c r="H40" s="3">
        <v>5</v>
      </c>
      <c r="I40" s="3"/>
      <c r="J40" s="3"/>
      <c r="K40" s="3"/>
      <c r="L40" s="3"/>
      <c r="M40" s="3"/>
      <c r="N40" t="s">
        <v>526</v>
      </c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228</v>
      </c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236</v>
      </c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237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532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533</v>
      </c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>
                  <from>
                    <xdr:col>15</xdr:col>
                    <xdr:colOff>9525</xdr:colOff>
                    <xdr:row>4</xdr:row>
                    <xdr:rowOff>180975</xdr:rowOff>
                  </from>
                  <to>
                    <xdr:col>18</xdr:col>
                    <xdr:colOff>533400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>
                  <from>
                    <xdr:col>15</xdr:col>
                    <xdr:colOff>9525</xdr:colOff>
                    <xdr:row>5</xdr:row>
                    <xdr:rowOff>171450</xdr:rowOff>
                  </from>
                  <to>
                    <xdr:col>17</xdr:col>
                    <xdr:colOff>276225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D365D-7533-4068-91F2-7789E283FE5C}">
  <sheetPr codeName="Sheet16">
    <tabColor rgb="FFFF99FF"/>
  </sheetPr>
  <dimension ref="A1:V8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413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475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476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477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542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543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549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550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554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555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496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506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507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556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557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558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559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523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524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525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55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463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474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545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546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548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511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512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>
        <v>1</v>
      </c>
      <c r="H29" s="3">
        <v>4</v>
      </c>
      <c r="I29" s="3"/>
      <c r="J29" s="3"/>
      <c r="K29" s="3"/>
      <c r="L29" s="3"/>
      <c r="M29" s="3"/>
      <c r="N29" t="s">
        <v>547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>
        <v>2</v>
      </c>
      <c r="H30" s="3">
        <v>4</v>
      </c>
      <c r="I30" s="3"/>
      <c r="J30" s="3"/>
      <c r="K30" s="3"/>
      <c r="L30" s="3"/>
      <c r="M30" s="3"/>
      <c r="N30" t="s">
        <v>553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497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498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513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514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464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465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6</v>
      </c>
      <c r="M37" s="3"/>
      <c r="N37" t="s">
        <v>466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6</v>
      </c>
      <c r="M38" s="3"/>
      <c r="N38" t="s">
        <v>467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521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520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519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>
        <v>3</v>
      </c>
      <c r="J42" s="3"/>
      <c r="K42" s="3"/>
      <c r="L42" s="3"/>
      <c r="M42" s="3"/>
      <c r="N42" t="s">
        <v>516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>
        <v>3</v>
      </c>
      <c r="J43" s="3"/>
      <c r="K43" s="3"/>
      <c r="L43" s="3"/>
      <c r="M43" s="3"/>
      <c r="N43" t="s">
        <v>515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505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504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503</v>
      </c>
    </row>
    <row r="47" spans="1:14" x14ac:dyDescent="0.25">
      <c r="A47" s="3" t="s">
        <v>106</v>
      </c>
      <c r="B47" s="3">
        <v>3</v>
      </c>
      <c r="C47" s="4">
        <v>8</v>
      </c>
      <c r="D47" s="3">
        <v>72</v>
      </c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500</v>
      </c>
    </row>
    <row r="48" spans="1:14" x14ac:dyDescent="0.25">
      <c r="A48" s="3" t="s">
        <v>108</v>
      </c>
      <c r="B48" s="3">
        <v>3</v>
      </c>
      <c r="C48" s="4">
        <v>9</v>
      </c>
      <c r="D48" s="3">
        <v>73</v>
      </c>
      <c r="E48" s="3"/>
      <c r="F48" s="3"/>
      <c r="G48" s="3"/>
      <c r="H48" s="3"/>
      <c r="I48" s="3"/>
      <c r="J48" s="3"/>
      <c r="K48" s="3"/>
      <c r="L48" s="3"/>
      <c r="M48" s="3"/>
      <c r="N48" t="s">
        <v>499</v>
      </c>
    </row>
    <row r="49" spans="1:14" x14ac:dyDescent="0.25">
      <c r="A49" s="3" t="s">
        <v>110</v>
      </c>
      <c r="B49" s="3">
        <v>3</v>
      </c>
      <c r="C49" s="4">
        <v>10</v>
      </c>
      <c r="D49" s="3">
        <v>74</v>
      </c>
      <c r="E49" s="3">
        <v>18</v>
      </c>
      <c r="F49" s="3">
        <v>7</v>
      </c>
      <c r="G49" s="3">
        <v>2</v>
      </c>
      <c r="H49" s="3">
        <v>3</v>
      </c>
      <c r="I49" s="3"/>
      <c r="J49" s="3"/>
      <c r="K49" s="3"/>
      <c r="L49" s="3"/>
      <c r="M49" s="3"/>
      <c r="N49" t="s">
        <v>552</v>
      </c>
    </row>
    <row r="50" spans="1:14" x14ac:dyDescent="0.25">
      <c r="A50" s="3" t="s">
        <v>112</v>
      </c>
      <c r="B50" s="3">
        <v>3</v>
      </c>
      <c r="C50" s="4">
        <v>11</v>
      </c>
      <c r="D50" s="3">
        <v>75</v>
      </c>
      <c r="E50" s="3">
        <v>19</v>
      </c>
      <c r="F50" s="3">
        <v>7</v>
      </c>
      <c r="G50" s="3">
        <v>2</v>
      </c>
      <c r="H50" s="3">
        <v>2</v>
      </c>
      <c r="I50" s="3"/>
      <c r="J50" s="3"/>
      <c r="K50" s="3"/>
      <c r="L50" s="3"/>
      <c r="M50" s="3"/>
      <c r="N50" t="s">
        <v>551</v>
      </c>
    </row>
    <row r="51" spans="1:14" x14ac:dyDescent="0.25">
      <c r="A51" s="3" t="s">
        <v>114</v>
      </c>
      <c r="B51" s="3">
        <v>3</v>
      </c>
      <c r="C51" s="4">
        <v>12</v>
      </c>
      <c r="D51" s="3">
        <v>76</v>
      </c>
      <c r="E51" s="3"/>
      <c r="F51" s="3"/>
      <c r="G51" s="3"/>
      <c r="H51" s="3"/>
      <c r="I51" s="3"/>
      <c r="J51" s="3"/>
      <c r="K51" s="3"/>
      <c r="L51" s="3"/>
      <c r="M51" s="3"/>
      <c r="N51" t="s">
        <v>482</v>
      </c>
    </row>
    <row r="52" spans="1:14" x14ac:dyDescent="0.25">
      <c r="A52" s="3" t="s">
        <v>116</v>
      </c>
      <c r="B52" s="3">
        <v>3</v>
      </c>
      <c r="C52" s="4">
        <v>13</v>
      </c>
      <c r="D52" s="3">
        <v>77</v>
      </c>
      <c r="E52" s="3"/>
      <c r="F52" s="3"/>
      <c r="G52" s="3">
        <v>1</v>
      </c>
      <c r="H52" s="3">
        <v>5</v>
      </c>
      <c r="I52" s="3"/>
      <c r="J52" s="3"/>
      <c r="K52" s="3"/>
      <c r="L52" s="3"/>
      <c r="M52" s="3"/>
      <c r="N52" t="s">
        <v>541</v>
      </c>
    </row>
    <row r="53" spans="1:14" x14ac:dyDescent="0.25">
      <c r="A53" s="3" t="s">
        <v>118</v>
      </c>
      <c r="B53" s="3">
        <v>3</v>
      </c>
      <c r="C53" s="4">
        <v>14</v>
      </c>
      <c r="D53" s="3">
        <v>78</v>
      </c>
      <c r="E53" s="3"/>
      <c r="F53" s="3"/>
      <c r="G53" s="3"/>
      <c r="H53" s="3"/>
      <c r="I53" s="3"/>
      <c r="J53" s="3"/>
      <c r="K53" s="3"/>
      <c r="L53" s="3"/>
      <c r="M53" s="3"/>
      <c r="N53" t="s">
        <v>472</v>
      </c>
    </row>
    <row r="54" spans="1:14" x14ac:dyDescent="0.25">
      <c r="A54" s="3" t="s">
        <v>120</v>
      </c>
      <c r="B54" s="3">
        <v>3</v>
      </c>
      <c r="C54" s="4">
        <v>15</v>
      </c>
      <c r="D54" s="3">
        <v>79</v>
      </c>
      <c r="E54" s="3"/>
      <c r="F54" s="3"/>
      <c r="G54" s="3"/>
      <c r="H54" s="3"/>
      <c r="I54" s="3"/>
      <c r="J54" s="3"/>
      <c r="K54" s="3"/>
      <c r="L54" s="3"/>
      <c r="M54" s="3"/>
      <c r="N54" t="s">
        <v>469</v>
      </c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468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470</v>
      </c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471</v>
      </c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480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544</v>
      </c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486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487</v>
      </c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BEF2-ECC9-4F27-885B-E383F3BFEF00}">
  <sheetPr codeName="Sheet14">
    <tabColor rgb="FFFF99FF"/>
  </sheetPr>
  <dimension ref="A1:V81"/>
  <sheetViews>
    <sheetView workbookViewId="0">
      <pane ySplit="1" topLeftCell="A41" activePane="bottomLeft" state="frozen"/>
      <selection pane="bottomLeft" activeCell="N67" sqref="N67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730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577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579</v>
      </c>
      <c r="P3" t="s">
        <v>18</v>
      </c>
      <c r="Q3" s="5">
        <v>45174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582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584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586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597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598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561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564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35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37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580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583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585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599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49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51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53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560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563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576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591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592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596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67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69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>
        <v>1</v>
      </c>
      <c r="H29" s="3">
        <v>4</v>
      </c>
      <c r="I29" s="3"/>
      <c r="J29" s="3"/>
      <c r="K29" s="3"/>
      <c r="L29" s="3"/>
      <c r="M29" s="3"/>
      <c r="N29" t="s">
        <v>593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>
        <v>2</v>
      </c>
      <c r="H30" s="3">
        <v>4</v>
      </c>
      <c r="I30" s="3"/>
      <c r="J30" s="3"/>
      <c r="K30" s="3"/>
      <c r="L30" s="3"/>
      <c r="M30" s="3"/>
      <c r="N30" t="s">
        <v>604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75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77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79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81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566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567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6</v>
      </c>
      <c r="M37" s="3"/>
      <c r="N37" t="s">
        <v>568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6</v>
      </c>
      <c r="M38" s="3"/>
      <c r="N38" t="s">
        <v>569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91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93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95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>
        <v>3</v>
      </c>
      <c r="J42" s="3"/>
      <c r="K42" s="3"/>
      <c r="L42" s="3"/>
      <c r="M42" s="3"/>
      <c r="N42" t="s">
        <v>97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>
        <v>3</v>
      </c>
      <c r="J43" s="3"/>
      <c r="K43" s="3"/>
      <c r="L43" s="3"/>
      <c r="M43" s="3"/>
      <c r="N43" t="s">
        <v>99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101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103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105</v>
      </c>
    </row>
    <row r="47" spans="1:14" x14ac:dyDescent="0.25">
      <c r="A47" s="3" t="s">
        <v>106</v>
      </c>
      <c r="B47" s="3">
        <v>3</v>
      </c>
      <c r="C47" s="4">
        <v>8</v>
      </c>
      <c r="D47" s="3">
        <v>72</v>
      </c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107</v>
      </c>
    </row>
    <row r="48" spans="1:14" x14ac:dyDescent="0.25">
      <c r="A48" s="3" t="s">
        <v>108</v>
      </c>
      <c r="B48" s="3">
        <v>3</v>
      </c>
      <c r="C48" s="4">
        <v>9</v>
      </c>
      <c r="D48" s="3">
        <v>73</v>
      </c>
      <c r="E48" s="3"/>
      <c r="F48" s="3"/>
      <c r="G48" s="3"/>
      <c r="H48" s="3"/>
      <c r="I48" s="3"/>
      <c r="J48" s="3"/>
      <c r="K48" s="3"/>
      <c r="L48" s="3"/>
      <c r="M48" s="3"/>
      <c r="N48" t="s">
        <v>109</v>
      </c>
    </row>
    <row r="49" spans="1:14" x14ac:dyDescent="0.25">
      <c r="A49" s="3" t="s">
        <v>110</v>
      </c>
      <c r="B49" s="3">
        <v>3</v>
      </c>
      <c r="C49" s="4">
        <v>10</v>
      </c>
      <c r="D49" s="3">
        <v>74</v>
      </c>
      <c r="E49" s="3">
        <v>18</v>
      </c>
      <c r="F49" s="3">
        <v>7</v>
      </c>
      <c r="G49" s="3">
        <v>2</v>
      </c>
      <c r="H49" s="3">
        <v>3</v>
      </c>
      <c r="I49" s="3"/>
      <c r="J49" s="3"/>
      <c r="K49" s="3"/>
      <c r="L49" s="3"/>
      <c r="M49" s="3"/>
      <c r="N49" t="s">
        <v>602</v>
      </c>
    </row>
    <row r="50" spans="1:14" x14ac:dyDescent="0.25">
      <c r="A50" s="3" t="s">
        <v>112</v>
      </c>
      <c r="B50" s="3">
        <v>3</v>
      </c>
      <c r="C50" s="4">
        <v>11</v>
      </c>
      <c r="D50" s="3">
        <v>75</v>
      </c>
      <c r="E50" s="3">
        <v>19</v>
      </c>
      <c r="F50" s="3">
        <v>7</v>
      </c>
      <c r="G50" s="3">
        <v>2</v>
      </c>
      <c r="H50" s="3">
        <v>2</v>
      </c>
      <c r="I50" s="3"/>
      <c r="J50" s="3"/>
      <c r="K50" s="3"/>
      <c r="L50" s="3"/>
      <c r="M50" s="3"/>
      <c r="N50" t="s">
        <v>600</v>
      </c>
    </row>
    <row r="51" spans="1:14" x14ac:dyDescent="0.25">
      <c r="A51" s="3" t="s">
        <v>114</v>
      </c>
      <c r="B51" s="3">
        <v>3</v>
      </c>
      <c r="C51" s="4">
        <v>12</v>
      </c>
      <c r="D51" s="3">
        <v>76</v>
      </c>
      <c r="E51" s="3"/>
      <c r="F51" s="3"/>
      <c r="G51" s="3"/>
      <c r="H51" s="3"/>
      <c r="I51" s="3"/>
      <c r="J51" s="3"/>
      <c r="K51" s="3"/>
      <c r="L51" s="3"/>
      <c r="M51" s="3"/>
      <c r="N51" t="s">
        <v>590</v>
      </c>
    </row>
    <row r="52" spans="1:14" x14ac:dyDescent="0.25">
      <c r="A52" s="3" t="s">
        <v>116</v>
      </c>
      <c r="B52" s="3">
        <v>3</v>
      </c>
      <c r="C52" s="4">
        <v>13</v>
      </c>
      <c r="D52" s="3">
        <v>77</v>
      </c>
      <c r="E52" s="3"/>
      <c r="F52" s="3"/>
      <c r="G52" s="3">
        <v>1</v>
      </c>
      <c r="H52" s="3">
        <v>5</v>
      </c>
      <c r="I52" s="3"/>
      <c r="J52" s="3"/>
      <c r="K52" s="3"/>
      <c r="L52" s="3"/>
      <c r="M52" s="3"/>
      <c r="N52" t="s">
        <v>575</v>
      </c>
    </row>
    <row r="53" spans="1:14" x14ac:dyDescent="0.25">
      <c r="A53" s="3" t="s">
        <v>118</v>
      </c>
      <c r="B53" s="3">
        <v>3</v>
      </c>
      <c r="C53" s="4">
        <v>14</v>
      </c>
      <c r="D53" s="3">
        <v>78</v>
      </c>
      <c r="E53" s="3"/>
      <c r="F53" s="3"/>
      <c r="G53" s="3"/>
      <c r="H53" s="3"/>
      <c r="I53" s="3"/>
      <c r="J53" s="3"/>
      <c r="K53" s="3"/>
      <c r="L53" s="3"/>
      <c r="M53" s="3"/>
      <c r="N53" t="s">
        <v>574</v>
      </c>
    </row>
    <row r="54" spans="1:14" x14ac:dyDescent="0.25">
      <c r="A54" s="3" t="s">
        <v>120</v>
      </c>
      <c r="B54" s="3">
        <v>3</v>
      </c>
      <c r="C54" s="4">
        <v>15</v>
      </c>
      <c r="D54" s="3">
        <v>79</v>
      </c>
      <c r="E54" s="3"/>
      <c r="F54" s="3"/>
      <c r="G54" s="3"/>
      <c r="H54" s="3"/>
      <c r="I54" s="3"/>
      <c r="J54" s="3"/>
      <c r="K54" s="3"/>
      <c r="L54" s="3"/>
      <c r="M54" s="3"/>
      <c r="N54" t="s">
        <v>571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>
        <v>20</v>
      </c>
      <c r="F55" s="3">
        <v>7</v>
      </c>
      <c r="G55" s="3">
        <v>2</v>
      </c>
      <c r="H55" s="3">
        <v>5</v>
      </c>
      <c r="I55" s="3"/>
      <c r="J55" s="3"/>
      <c r="K55" s="3"/>
      <c r="L55" s="3"/>
      <c r="M55" s="3"/>
      <c r="N55" t="s">
        <v>562</v>
      </c>
    </row>
    <row r="56" spans="1:14" x14ac:dyDescent="0.25">
      <c r="A56" s="3" t="s">
        <v>124</v>
      </c>
      <c r="B56" s="3">
        <v>4</v>
      </c>
      <c r="C56" s="4">
        <v>1</v>
      </c>
      <c r="D56" s="3"/>
      <c r="E56" s="3">
        <v>21</v>
      </c>
      <c r="F56" s="3">
        <v>7</v>
      </c>
      <c r="G56" s="3">
        <v>1</v>
      </c>
      <c r="H56" s="3">
        <v>6</v>
      </c>
      <c r="I56" s="3"/>
      <c r="J56" s="3"/>
      <c r="K56" s="3"/>
      <c r="L56" s="3"/>
      <c r="M56" s="3"/>
      <c r="N56" t="s">
        <v>565</v>
      </c>
    </row>
    <row r="57" spans="1:14" x14ac:dyDescent="0.25">
      <c r="A57" s="3" t="s">
        <v>126</v>
      </c>
      <c r="B57" s="3">
        <v>4</v>
      </c>
      <c r="C57" s="4">
        <v>2</v>
      </c>
      <c r="D57" s="3"/>
      <c r="E57" s="3">
        <v>22</v>
      </c>
      <c r="F57" s="3">
        <v>7</v>
      </c>
      <c r="G57" s="3">
        <v>2</v>
      </c>
      <c r="H57" s="3">
        <v>6</v>
      </c>
      <c r="I57" s="3"/>
      <c r="J57" s="3"/>
      <c r="K57" s="3"/>
      <c r="L57" s="3"/>
      <c r="M57" s="3"/>
      <c r="N57" t="s">
        <v>578</v>
      </c>
    </row>
    <row r="58" spans="1:14" x14ac:dyDescent="0.25">
      <c r="A58" s="3" t="s">
        <v>128</v>
      </c>
      <c r="B58" s="3">
        <v>4</v>
      </c>
      <c r="C58" s="4">
        <v>3</v>
      </c>
      <c r="D58" s="3"/>
      <c r="E58" s="3">
        <v>23</v>
      </c>
      <c r="F58" s="3">
        <v>7</v>
      </c>
      <c r="G58" s="3"/>
      <c r="H58" s="3"/>
      <c r="I58" s="3"/>
      <c r="J58" s="3"/>
      <c r="K58" s="3"/>
      <c r="L58" s="3"/>
      <c r="M58" s="3"/>
      <c r="N58" t="s">
        <v>581</v>
      </c>
    </row>
    <row r="59" spans="1:14" x14ac:dyDescent="0.25">
      <c r="A59" s="3" t="s">
        <v>130</v>
      </c>
      <c r="B59" s="3">
        <v>4</v>
      </c>
      <c r="C59" s="4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131</v>
      </c>
    </row>
    <row r="60" spans="1:14" x14ac:dyDescent="0.25">
      <c r="A60" s="3" t="s">
        <v>132</v>
      </c>
      <c r="B60" s="3">
        <v>4</v>
      </c>
      <c r="C60" s="4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587</v>
      </c>
    </row>
    <row r="61" spans="1:14" x14ac:dyDescent="0.25">
      <c r="A61" s="3" t="s">
        <v>134</v>
      </c>
      <c r="B61" s="3">
        <v>4</v>
      </c>
      <c r="C61" s="4">
        <v>6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601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603</v>
      </c>
    </row>
    <row r="63" spans="1:14" x14ac:dyDescent="0.25">
      <c r="A63" s="3" t="s">
        <v>138</v>
      </c>
      <c r="B63" s="3">
        <v>4</v>
      </c>
      <c r="C63" s="4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139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141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143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145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147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149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151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153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570</v>
      </c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572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573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588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589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594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595</v>
      </c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160</v>
      </c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161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162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AF41-767F-4852-93AF-18D4591AB167}">
  <sheetPr codeName="Sheet18">
    <tabColor rgb="FFCC99FF"/>
  </sheetPr>
  <dimension ref="A1:V8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729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717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718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719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720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528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725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726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537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538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250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>
        <v>6</v>
      </c>
      <c r="M12" s="3"/>
      <c r="N12" t="s">
        <v>254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>
        <v>6</v>
      </c>
      <c r="M13" s="3"/>
      <c r="N13" t="s">
        <v>255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721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540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607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606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267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268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269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711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716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529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530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534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259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260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>
        <v>1</v>
      </c>
      <c r="H29" s="3">
        <v>4</v>
      </c>
      <c r="I29" s="3"/>
      <c r="J29" s="3"/>
      <c r="K29" s="3"/>
      <c r="L29" s="3"/>
      <c r="M29" s="3"/>
      <c r="N29" t="s">
        <v>531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>
        <v>2</v>
      </c>
      <c r="H30" s="3">
        <v>4</v>
      </c>
      <c r="I30" s="3"/>
      <c r="J30" s="3"/>
      <c r="K30" s="3"/>
      <c r="L30" s="3"/>
      <c r="M30" s="3"/>
      <c r="N30" t="s">
        <v>536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251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252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261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262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712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713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>
        <v>4</v>
      </c>
      <c r="M37" s="3"/>
      <c r="N37" t="s">
        <v>265</v>
      </c>
    </row>
    <row r="38" spans="1:14" x14ac:dyDescent="0.25">
      <c r="A38" s="3" t="s">
        <v>106</v>
      </c>
      <c r="B38" s="3">
        <v>3</v>
      </c>
      <c r="C38" s="4">
        <v>8</v>
      </c>
      <c r="D38" s="3">
        <v>72</v>
      </c>
      <c r="E38" s="3"/>
      <c r="F38" s="3"/>
      <c r="G38" s="3"/>
      <c r="H38" s="3"/>
      <c r="I38" s="3"/>
      <c r="J38" s="3"/>
      <c r="K38" s="3"/>
      <c r="L38" s="3"/>
      <c r="M38" s="3">
        <v>2</v>
      </c>
      <c r="N38" t="s">
        <v>253</v>
      </c>
    </row>
    <row r="39" spans="1:14" x14ac:dyDescent="0.25">
      <c r="A39" s="3" t="s">
        <v>110</v>
      </c>
      <c r="B39" s="3">
        <v>3</v>
      </c>
      <c r="C39" s="4">
        <v>10</v>
      </c>
      <c r="D39" s="3">
        <v>74</v>
      </c>
      <c r="E39" s="3">
        <v>18</v>
      </c>
      <c r="F39" s="3">
        <v>7</v>
      </c>
      <c r="G39" s="3">
        <v>2</v>
      </c>
      <c r="H39" s="3">
        <v>3</v>
      </c>
      <c r="I39" s="3"/>
      <c r="J39" s="3"/>
      <c r="K39" s="3"/>
      <c r="L39" s="3"/>
      <c r="M39" s="3"/>
      <c r="N39" t="s">
        <v>535</v>
      </c>
    </row>
    <row r="40" spans="1:14" x14ac:dyDescent="0.25">
      <c r="A40" s="3" t="s">
        <v>116</v>
      </c>
      <c r="B40" s="3">
        <v>3</v>
      </c>
      <c r="C40" s="4">
        <v>13</v>
      </c>
      <c r="D40" s="3">
        <v>77</v>
      </c>
      <c r="E40" s="3"/>
      <c r="F40" s="3"/>
      <c r="G40" s="3">
        <v>1</v>
      </c>
      <c r="H40" s="3">
        <v>5</v>
      </c>
      <c r="I40" s="3"/>
      <c r="J40" s="3"/>
      <c r="K40" s="3"/>
      <c r="L40" s="3"/>
      <c r="M40" s="3"/>
      <c r="N40" t="s">
        <v>715</v>
      </c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714</v>
      </c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722</v>
      </c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723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724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396</v>
      </c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263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264</v>
      </c>
    </row>
    <row r="50" spans="1:14" x14ac:dyDescent="0.25">
      <c r="A50" s="3"/>
      <c r="B50" s="3"/>
      <c r="C50" s="4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4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4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36EA0-2F09-410B-921B-70C1EA08C0FA}">
  <sheetPr codeName="Sheet19">
    <tabColor rgb="FFCC99FF"/>
  </sheetPr>
  <dimension ref="A1:V8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728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744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745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747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748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543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549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550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554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555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496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506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507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746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557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558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559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523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524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525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560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733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743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545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546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548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511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512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>
        <v>1</v>
      </c>
      <c r="H29" s="3">
        <v>4</v>
      </c>
      <c r="I29" s="3"/>
      <c r="J29" s="3"/>
      <c r="K29" s="3"/>
      <c r="L29" s="3"/>
      <c r="M29" s="3"/>
      <c r="N29" t="s">
        <v>547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>
        <v>2</v>
      </c>
      <c r="H30" s="3">
        <v>4</v>
      </c>
      <c r="I30" s="3"/>
      <c r="J30" s="3"/>
      <c r="K30" s="3"/>
      <c r="L30" s="3"/>
      <c r="M30" s="3"/>
      <c r="N30" t="s">
        <v>553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497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498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513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514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734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735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6</v>
      </c>
      <c r="M37" s="3"/>
      <c r="N37" t="s">
        <v>736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6</v>
      </c>
      <c r="M38" s="3"/>
      <c r="N38" t="s">
        <v>737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521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520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519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>
        <v>3</v>
      </c>
      <c r="J42" s="3"/>
      <c r="K42" s="3"/>
      <c r="L42" s="3"/>
      <c r="M42" s="3"/>
      <c r="N42" t="s">
        <v>516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>
        <v>3</v>
      </c>
      <c r="J43" s="3"/>
      <c r="K43" s="3"/>
      <c r="L43" s="3"/>
      <c r="M43" s="3"/>
      <c r="N43" t="s">
        <v>515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505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504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503</v>
      </c>
    </row>
    <row r="47" spans="1:14" x14ac:dyDescent="0.25">
      <c r="A47" s="3" t="s">
        <v>106</v>
      </c>
      <c r="B47" s="3">
        <v>3</v>
      </c>
      <c r="C47" s="4">
        <v>8</v>
      </c>
      <c r="D47" s="3">
        <v>72</v>
      </c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500</v>
      </c>
    </row>
    <row r="48" spans="1:14" x14ac:dyDescent="0.25">
      <c r="A48" s="3" t="s">
        <v>108</v>
      </c>
      <c r="B48" s="3">
        <v>3</v>
      </c>
      <c r="C48" s="4">
        <v>9</v>
      </c>
      <c r="D48" s="3">
        <v>73</v>
      </c>
      <c r="E48" s="3"/>
      <c r="F48" s="3"/>
      <c r="G48" s="3"/>
      <c r="H48" s="3"/>
      <c r="I48" s="3"/>
      <c r="J48" s="3"/>
      <c r="K48" s="3"/>
      <c r="L48" s="3"/>
      <c r="M48" s="3"/>
      <c r="N48" t="s">
        <v>499</v>
      </c>
    </row>
    <row r="49" spans="1:14" x14ac:dyDescent="0.25">
      <c r="A49" s="3" t="s">
        <v>110</v>
      </c>
      <c r="B49" s="3">
        <v>3</v>
      </c>
      <c r="C49" s="4">
        <v>10</v>
      </c>
      <c r="D49" s="3">
        <v>74</v>
      </c>
      <c r="E49" s="3">
        <v>18</v>
      </c>
      <c r="F49" s="3">
        <v>7</v>
      </c>
      <c r="G49" s="3">
        <v>2</v>
      </c>
      <c r="H49" s="3">
        <v>3</v>
      </c>
      <c r="I49" s="3"/>
      <c r="J49" s="3"/>
      <c r="K49" s="3"/>
      <c r="L49" s="3"/>
      <c r="M49" s="3"/>
      <c r="N49" t="s">
        <v>552</v>
      </c>
    </row>
    <row r="50" spans="1:14" x14ac:dyDescent="0.25">
      <c r="A50" s="3" t="s">
        <v>112</v>
      </c>
      <c r="B50" s="3">
        <v>3</v>
      </c>
      <c r="C50" s="4">
        <v>11</v>
      </c>
      <c r="D50" s="3">
        <v>75</v>
      </c>
      <c r="E50" s="3">
        <v>19</v>
      </c>
      <c r="F50" s="3">
        <v>7</v>
      </c>
      <c r="G50" s="3">
        <v>2</v>
      </c>
      <c r="H50" s="3">
        <v>2</v>
      </c>
      <c r="I50" s="3"/>
      <c r="J50" s="3"/>
      <c r="K50" s="3"/>
      <c r="L50" s="3"/>
      <c r="M50" s="3"/>
      <c r="N50" t="s">
        <v>551</v>
      </c>
    </row>
    <row r="51" spans="1:14" x14ac:dyDescent="0.25">
      <c r="A51" s="3" t="s">
        <v>114</v>
      </c>
      <c r="B51" s="3">
        <v>3</v>
      </c>
      <c r="C51" s="4">
        <v>12</v>
      </c>
      <c r="D51" s="3">
        <v>76</v>
      </c>
      <c r="E51" s="3"/>
      <c r="F51" s="3"/>
      <c r="G51" s="3"/>
      <c r="H51" s="3"/>
      <c r="I51" s="3"/>
      <c r="J51" s="3"/>
      <c r="K51" s="3"/>
      <c r="L51" s="3"/>
      <c r="M51" s="3"/>
      <c r="N51" t="s">
        <v>751</v>
      </c>
    </row>
    <row r="52" spans="1:14" x14ac:dyDescent="0.25">
      <c r="A52" s="3" t="s">
        <v>116</v>
      </c>
      <c r="B52" s="3">
        <v>3</v>
      </c>
      <c r="C52" s="4">
        <v>13</v>
      </c>
      <c r="D52" s="3">
        <v>77</v>
      </c>
      <c r="E52" s="3"/>
      <c r="F52" s="3"/>
      <c r="G52" s="3">
        <v>1</v>
      </c>
      <c r="H52" s="3">
        <v>5</v>
      </c>
      <c r="I52" s="3"/>
      <c r="J52" s="3"/>
      <c r="K52" s="3"/>
      <c r="L52" s="3"/>
      <c r="M52" s="3"/>
      <c r="N52" t="s">
        <v>742</v>
      </c>
    </row>
    <row r="53" spans="1:14" x14ac:dyDescent="0.25">
      <c r="A53" s="3" t="s">
        <v>118</v>
      </c>
      <c r="B53" s="3">
        <v>3</v>
      </c>
      <c r="C53" s="4">
        <v>14</v>
      </c>
      <c r="D53" s="3">
        <v>78</v>
      </c>
      <c r="E53" s="3"/>
      <c r="F53" s="3"/>
      <c r="G53" s="3"/>
      <c r="H53" s="3"/>
      <c r="I53" s="3"/>
      <c r="J53" s="3"/>
      <c r="K53" s="3"/>
      <c r="L53" s="3"/>
      <c r="M53" s="3"/>
      <c r="N53" t="s">
        <v>741</v>
      </c>
    </row>
    <row r="54" spans="1:14" x14ac:dyDescent="0.25">
      <c r="A54" s="3" t="s">
        <v>120</v>
      </c>
      <c r="B54" s="3">
        <v>3</v>
      </c>
      <c r="C54" s="4">
        <v>15</v>
      </c>
      <c r="D54" s="3">
        <v>79</v>
      </c>
      <c r="E54" s="3"/>
      <c r="F54" s="3"/>
      <c r="G54" s="3"/>
      <c r="H54" s="3"/>
      <c r="I54" s="3"/>
      <c r="J54" s="3"/>
      <c r="K54" s="3"/>
      <c r="L54" s="3"/>
      <c r="M54" s="3"/>
      <c r="N54" t="s">
        <v>739</v>
      </c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738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740</v>
      </c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623</v>
      </c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749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750</v>
      </c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752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753</v>
      </c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C6A10-4978-4211-87B4-DD41DDDBB1DF}">
  <sheetPr codeName="Sheet20">
    <tabColor rgb="FFCC99FF"/>
  </sheetPr>
  <dimension ref="A1:V8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727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577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579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582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755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586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597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598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561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564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35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37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754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583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585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599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49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51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53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560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563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576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591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592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596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>
        <v>2</v>
      </c>
      <c r="J27" s="3"/>
      <c r="K27" s="3"/>
      <c r="L27" s="3">
        <v>5</v>
      </c>
      <c r="M27" s="3"/>
      <c r="N27" t="s">
        <v>67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>
        <v>2</v>
      </c>
      <c r="J28" s="3"/>
      <c r="K28" s="3"/>
      <c r="L28" s="3">
        <v>5</v>
      </c>
      <c r="M28" s="3"/>
      <c r="N28" t="s">
        <v>69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17</v>
      </c>
      <c r="F29" s="3">
        <v>7</v>
      </c>
      <c r="G29" s="3">
        <v>1</v>
      </c>
      <c r="H29" s="3">
        <v>4</v>
      </c>
      <c r="I29" s="3"/>
      <c r="J29" s="3"/>
      <c r="K29" s="3"/>
      <c r="L29" s="3"/>
      <c r="M29" s="3"/>
      <c r="N29" t="s">
        <v>593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16</v>
      </c>
      <c r="F30" s="3">
        <v>7</v>
      </c>
      <c r="G30" s="3">
        <v>2</v>
      </c>
      <c r="H30" s="3">
        <v>4</v>
      </c>
      <c r="I30" s="3"/>
      <c r="J30" s="3"/>
      <c r="K30" s="3"/>
      <c r="L30" s="3"/>
      <c r="M30" s="3"/>
      <c r="N30" t="s">
        <v>604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75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77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7</v>
      </c>
      <c r="M33" s="3"/>
      <c r="N33" t="s">
        <v>79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7</v>
      </c>
      <c r="M34" s="3"/>
      <c r="N34" t="s">
        <v>81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8</v>
      </c>
      <c r="M35" s="3"/>
      <c r="N35" t="s">
        <v>566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8</v>
      </c>
      <c r="M36" s="3"/>
      <c r="N36" t="s">
        <v>567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6</v>
      </c>
      <c r="M37" s="3"/>
      <c r="N37" t="s">
        <v>568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6</v>
      </c>
      <c r="M38" s="3"/>
      <c r="N38" t="s">
        <v>569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91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93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95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>
        <v>3</v>
      </c>
      <c r="J42" s="3"/>
      <c r="K42" s="3"/>
      <c r="L42" s="3"/>
      <c r="M42" s="3"/>
      <c r="N42" t="s">
        <v>97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>
        <v>3</v>
      </c>
      <c r="J43" s="3"/>
      <c r="K43" s="3"/>
      <c r="L43" s="3"/>
      <c r="M43" s="3"/>
      <c r="N43" t="s">
        <v>99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101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103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105</v>
      </c>
    </row>
    <row r="47" spans="1:14" x14ac:dyDescent="0.25">
      <c r="A47" s="3" t="s">
        <v>106</v>
      </c>
      <c r="B47" s="3">
        <v>3</v>
      </c>
      <c r="C47" s="4">
        <v>8</v>
      </c>
      <c r="D47" s="3">
        <v>72</v>
      </c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107</v>
      </c>
    </row>
    <row r="48" spans="1:14" x14ac:dyDescent="0.25">
      <c r="A48" s="3" t="s">
        <v>108</v>
      </c>
      <c r="B48" s="3">
        <v>3</v>
      </c>
      <c r="C48" s="4">
        <v>9</v>
      </c>
      <c r="D48" s="3">
        <v>73</v>
      </c>
      <c r="E48" s="3"/>
      <c r="F48" s="3"/>
      <c r="G48" s="3"/>
      <c r="H48" s="3"/>
      <c r="I48" s="3"/>
      <c r="J48" s="3"/>
      <c r="K48" s="3"/>
      <c r="L48" s="3"/>
      <c r="M48" s="3"/>
      <c r="N48" t="s">
        <v>109</v>
      </c>
    </row>
    <row r="49" spans="1:14" x14ac:dyDescent="0.25">
      <c r="A49" s="3" t="s">
        <v>110</v>
      </c>
      <c r="B49" s="3">
        <v>3</v>
      </c>
      <c r="C49" s="4">
        <v>10</v>
      </c>
      <c r="D49" s="3">
        <v>74</v>
      </c>
      <c r="E49" s="3">
        <v>18</v>
      </c>
      <c r="F49" s="3">
        <v>7</v>
      </c>
      <c r="G49" s="3">
        <v>2</v>
      </c>
      <c r="H49" s="3">
        <v>3</v>
      </c>
      <c r="I49" s="3"/>
      <c r="J49" s="3"/>
      <c r="K49" s="3"/>
      <c r="L49" s="3"/>
      <c r="M49" s="3"/>
      <c r="N49" t="s">
        <v>602</v>
      </c>
    </row>
    <row r="50" spans="1:14" x14ac:dyDescent="0.25">
      <c r="A50" s="3" t="s">
        <v>112</v>
      </c>
      <c r="B50" s="3">
        <v>3</v>
      </c>
      <c r="C50" s="4">
        <v>11</v>
      </c>
      <c r="D50" s="3">
        <v>75</v>
      </c>
      <c r="E50" s="3">
        <v>19</v>
      </c>
      <c r="F50" s="3">
        <v>7</v>
      </c>
      <c r="G50" s="3">
        <v>2</v>
      </c>
      <c r="H50" s="3">
        <v>2</v>
      </c>
      <c r="I50" s="3"/>
      <c r="J50" s="3"/>
      <c r="K50" s="3"/>
      <c r="L50" s="3"/>
      <c r="M50" s="3"/>
      <c r="N50" t="s">
        <v>600</v>
      </c>
    </row>
    <row r="51" spans="1:14" x14ac:dyDescent="0.25">
      <c r="A51" s="3" t="s">
        <v>114</v>
      </c>
      <c r="B51" s="3">
        <v>3</v>
      </c>
      <c r="C51" s="4">
        <v>12</v>
      </c>
      <c r="D51" s="3">
        <v>76</v>
      </c>
      <c r="E51" s="3"/>
      <c r="F51" s="3"/>
      <c r="G51" s="3"/>
      <c r="H51" s="3"/>
      <c r="I51" s="3"/>
      <c r="J51" s="3"/>
      <c r="K51" s="3"/>
      <c r="L51" s="3"/>
      <c r="M51" s="3"/>
      <c r="N51" t="s">
        <v>590</v>
      </c>
    </row>
    <row r="52" spans="1:14" x14ac:dyDescent="0.25">
      <c r="A52" s="3" t="s">
        <v>116</v>
      </c>
      <c r="B52" s="3">
        <v>3</v>
      </c>
      <c r="C52" s="4">
        <v>13</v>
      </c>
      <c r="D52" s="3">
        <v>77</v>
      </c>
      <c r="E52" s="3"/>
      <c r="F52" s="3"/>
      <c r="G52" s="3">
        <v>1</v>
      </c>
      <c r="H52" s="3">
        <v>5</v>
      </c>
      <c r="I52" s="3"/>
      <c r="J52" s="3"/>
      <c r="K52" s="3"/>
      <c r="L52" s="3"/>
      <c r="M52" s="3"/>
      <c r="N52" t="s">
        <v>575</v>
      </c>
    </row>
    <row r="53" spans="1:14" x14ac:dyDescent="0.25">
      <c r="A53" s="3" t="s">
        <v>118</v>
      </c>
      <c r="B53" s="3">
        <v>3</v>
      </c>
      <c r="C53" s="4">
        <v>14</v>
      </c>
      <c r="D53" s="3">
        <v>78</v>
      </c>
      <c r="E53" s="3"/>
      <c r="F53" s="3"/>
      <c r="G53" s="3"/>
      <c r="H53" s="3"/>
      <c r="I53" s="3"/>
      <c r="J53" s="3"/>
      <c r="K53" s="3"/>
      <c r="L53" s="3"/>
      <c r="M53" s="3"/>
      <c r="N53" t="s">
        <v>574</v>
      </c>
    </row>
    <row r="54" spans="1:14" x14ac:dyDescent="0.25">
      <c r="A54" s="3" t="s">
        <v>120</v>
      </c>
      <c r="B54" s="3">
        <v>3</v>
      </c>
      <c r="C54" s="4">
        <v>15</v>
      </c>
      <c r="D54" s="3">
        <v>79</v>
      </c>
      <c r="E54" s="3"/>
      <c r="F54" s="3"/>
      <c r="G54" s="3"/>
      <c r="H54" s="3"/>
      <c r="I54" s="3"/>
      <c r="J54" s="3"/>
      <c r="K54" s="3"/>
      <c r="L54" s="3"/>
      <c r="M54" s="3"/>
      <c r="N54" t="s">
        <v>571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>
        <v>20</v>
      </c>
      <c r="F55" s="3">
        <v>7</v>
      </c>
      <c r="G55" s="3">
        <v>2</v>
      </c>
      <c r="H55" s="3">
        <v>5</v>
      </c>
      <c r="I55" s="3"/>
      <c r="J55" s="3"/>
      <c r="K55" s="3"/>
      <c r="L55" s="3"/>
      <c r="M55" s="3"/>
      <c r="N55" t="s">
        <v>562</v>
      </c>
    </row>
    <row r="56" spans="1:14" x14ac:dyDescent="0.25">
      <c r="A56" s="3" t="s">
        <v>124</v>
      </c>
      <c r="B56" s="3">
        <v>4</v>
      </c>
      <c r="C56" s="4">
        <v>1</v>
      </c>
      <c r="D56" s="3"/>
      <c r="E56" s="3">
        <v>21</v>
      </c>
      <c r="F56" s="3">
        <v>7</v>
      </c>
      <c r="G56" s="3">
        <v>1</v>
      </c>
      <c r="H56" s="3">
        <v>6</v>
      </c>
      <c r="I56" s="3"/>
      <c r="J56" s="3"/>
      <c r="K56" s="3"/>
      <c r="L56" s="3"/>
      <c r="M56" s="3"/>
      <c r="N56" t="s">
        <v>565</v>
      </c>
    </row>
    <row r="57" spans="1:14" x14ac:dyDescent="0.25">
      <c r="A57" s="3" t="s">
        <v>126</v>
      </c>
      <c r="B57" s="3">
        <v>4</v>
      </c>
      <c r="C57" s="4">
        <v>2</v>
      </c>
      <c r="D57" s="3"/>
      <c r="E57" s="3">
        <v>22</v>
      </c>
      <c r="F57" s="3">
        <v>7</v>
      </c>
      <c r="G57" s="3">
        <v>2</v>
      </c>
      <c r="H57" s="3">
        <v>6</v>
      </c>
      <c r="I57" s="3"/>
      <c r="J57" s="3"/>
      <c r="K57" s="3"/>
      <c r="L57" s="3"/>
      <c r="M57" s="3"/>
      <c r="N57" t="s">
        <v>578</v>
      </c>
    </row>
    <row r="58" spans="1:14" x14ac:dyDescent="0.25">
      <c r="A58" s="3" t="s">
        <v>128</v>
      </c>
      <c r="B58" s="3">
        <v>4</v>
      </c>
      <c r="C58" s="4">
        <v>3</v>
      </c>
      <c r="D58" s="3"/>
      <c r="E58" s="3">
        <v>23</v>
      </c>
      <c r="F58" s="3">
        <v>7</v>
      </c>
      <c r="G58" s="3"/>
      <c r="H58" s="3"/>
      <c r="I58" s="3"/>
      <c r="J58" s="3"/>
      <c r="K58" s="3"/>
      <c r="L58" s="3"/>
      <c r="M58" s="3"/>
      <c r="N58" t="s">
        <v>581</v>
      </c>
    </row>
    <row r="59" spans="1:14" x14ac:dyDescent="0.25">
      <c r="A59" s="3" t="s">
        <v>130</v>
      </c>
      <c r="B59" s="3">
        <v>4</v>
      </c>
      <c r="C59" s="4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131</v>
      </c>
    </row>
    <row r="60" spans="1:14" x14ac:dyDescent="0.25">
      <c r="A60" s="3" t="s">
        <v>132</v>
      </c>
      <c r="B60" s="3">
        <v>4</v>
      </c>
      <c r="C60" s="4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587</v>
      </c>
    </row>
    <row r="61" spans="1:14" x14ac:dyDescent="0.25">
      <c r="A61" s="3" t="s">
        <v>134</v>
      </c>
      <c r="B61" s="3">
        <v>4</v>
      </c>
      <c r="C61" s="4">
        <v>6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601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603</v>
      </c>
    </row>
    <row r="63" spans="1:14" x14ac:dyDescent="0.25">
      <c r="A63" s="3" t="s">
        <v>138</v>
      </c>
      <c r="B63" s="3">
        <v>4</v>
      </c>
      <c r="C63" s="4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139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141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143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145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147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149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151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153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570</v>
      </c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572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573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588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589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594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595</v>
      </c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160</v>
      </c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161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162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E8A2B-5C6E-4A0E-97A4-FD5D895F0CE6}">
  <sheetPr codeName="Sheet21">
    <tabColor rgb="FFCC99FF"/>
  </sheetPr>
  <dimension ref="A1:V10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1279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786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792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798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804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810</v>
      </c>
    </row>
    <row r="7" spans="1:22" x14ac:dyDescent="0.25">
      <c r="A7" s="3" t="s">
        <v>867</v>
      </c>
      <c r="B7" s="3">
        <v>0</v>
      </c>
      <c r="C7" s="4">
        <v>5</v>
      </c>
      <c r="D7" s="3">
        <v>96</v>
      </c>
      <c r="E7" s="3"/>
      <c r="F7" s="3"/>
      <c r="G7" s="3"/>
      <c r="H7" s="3"/>
      <c r="I7" s="3"/>
      <c r="J7" s="3"/>
      <c r="K7" s="3"/>
      <c r="L7" s="3">
        <v>2</v>
      </c>
      <c r="M7" s="3"/>
      <c r="N7" t="s">
        <v>809</v>
      </c>
    </row>
    <row r="8" spans="1:22" x14ac:dyDescent="0.25">
      <c r="A8" s="3" t="s">
        <v>868</v>
      </c>
      <c r="B8" s="3">
        <v>0</v>
      </c>
      <c r="C8" s="3">
        <v>6</v>
      </c>
      <c r="D8" s="3">
        <v>97</v>
      </c>
      <c r="E8" s="3"/>
      <c r="F8" s="3"/>
      <c r="G8" s="3"/>
      <c r="H8" s="3"/>
      <c r="I8" s="3"/>
      <c r="J8" s="3"/>
      <c r="K8" s="3"/>
      <c r="L8" s="3">
        <v>1</v>
      </c>
      <c r="M8" s="3"/>
      <c r="N8" t="s">
        <v>840</v>
      </c>
    </row>
    <row r="9" spans="1:22" x14ac:dyDescent="0.25">
      <c r="A9" s="3" t="s">
        <v>869</v>
      </c>
      <c r="B9" s="3">
        <v>0</v>
      </c>
      <c r="C9" s="3">
        <v>7</v>
      </c>
      <c r="D9" s="3">
        <v>98</v>
      </c>
      <c r="E9" s="3"/>
      <c r="F9" s="3"/>
      <c r="G9" s="3"/>
      <c r="H9" s="3"/>
      <c r="I9" s="3"/>
      <c r="J9" s="3"/>
      <c r="K9" s="3"/>
      <c r="L9" s="3">
        <v>1</v>
      </c>
      <c r="M9" s="3"/>
      <c r="N9" t="s">
        <v>842</v>
      </c>
    </row>
    <row r="10" spans="1:22" x14ac:dyDescent="0.25">
      <c r="A10" s="3" t="s">
        <v>870</v>
      </c>
      <c r="B10" s="3">
        <v>0</v>
      </c>
      <c r="C10" s="3">
        <v>8</v>
      </c>
      <c r="D10" s="3">
        <v>99</v>
      </c>
      <c r="E10" s="3"/>
      <c r="F10" s="3"/>
      <c r="G10" s="3"/>
      <c r="H10" s="3"/>
      <c r="I10" s="3"/>
      <c r="J10" s="3"/>
      <c r="K10" s="3"/>
      <c r="L10" s="3"/>
      <c r="M10" s="3"/>
      <c r="N10" t="s">
        <v>848</v>
      </c>
    </row>
    <row r="11" spans="1:22" x14ac:dyDescent="0.25">
      <c r="A11" s="3" t="s">
        <v>26</v>
      </c>
      <c r="B11" s="3">
        <v>1</v>
      </c>
      <c r="C11" s="4">
        <v>0</v>
      </c>
      <c r="D11" s="3">
        <v>32</v>
      </c>
      <c r="E11" s="3">
        <v>5</v>
      </c>
      <c r="F11" s="3">
        <v>7</v>
      </c>
      <c r="G11" s="3"/>
      <c r="H11" s="3"/>
      <c r="I11" s="3"/>
      <c r="J11" s="3"/>
      <c r="K11" s="3"/>
      <c r="L11" s="3"/>
      <c r="M11" s="3"/>
      <c r="N11" t="s">
        <v>833</v>
      </c>
    </row>
    <row r="12" spans="1:22" x14ac:dyDescent="0.25">
      <c r="A12" s="3" t="s">
        <v>28</v>
      </c>
      <c r="B12" s="3">
        <v>1</v>
      </c>
      <c r="C12" s="4">
        <v>1</v>
      </c>
      <c r="D12" s="3">
        <v>33</v>
      </c>
      <c r="E12" s="3">
        <v>6</v>
      </c>
      <c r="F12" s="3">
        <v>7</v>
      </c>
      <c r="G12" s="3"/>
      <c r="H12" s="3"/>
      <c r="I12" s="3"/>
      <c r="J12" s="3"/>
      <c r="K12" s="3"/>
      <c r="L12" s="3"/>
      <c r="M12" s="3"/>
      <c r="N12" t="s">
        <v>835</v>
      </c>
    </row>
    <row r="13" spans="1:22" x14ac:dyDescent="0.25">
      <c r="A13" s="3" t="s">
        <v>30</v>
      </c>
      <c r="B13" s="3">
        <v>1</v>
      </c>
      <c r="C13" s="4">
        <v>2</v>
      </c>
      <c r="D13" s="3">
        <v>34</v>
      </c>
      <c r="E13" s="3">
        <v>1</v>
      </c>
      <c r="F13" s="3">
        <v>1</v>
      </c>
      <c r="G13" s="3">
        <v>3</v>
      </c>
      <c r="H13" s="3">
        <v>2</v>
      </c>
      <c r="I13" s="3">
        <v>3</v>
      </c>
      <c r="J13" s="3">
        <v>2</v>
      </c>
      <c r="K13" s="3"/>
      <c r="L13" s="3"/>
      <c r="M13" s="3"/>
      <c r="N13" t="s">
        <v>756</v>
      </c>
    </row>
    <row r="14" spans="1:22" x14ac:dyDescent="0.25">
      <c r="A14" s="3" t="s">
        <v>32</v>
      </c>
      <c r="B14" s="3">
        <v>1</v>
      </c>
      <c r="C14" s="4">
        <v>3</v>
      </c>
      <c r="D14" s="3">
        <v>35</v>
      </c>
      <c r="E14" s="3">
        <v>8</v>
      </c>
      <c r="F14" s="3">
        <v>7</v>
      </c>
      <c r="G14" s="3">
        <v>0</v>
      </c>
      <c r="H14" s="3">
        <v>4</v>
      </c>
      <c r="I14" s="3"/>
      <c r="J14" s="3">
        <v>2</v>
      </c>
      <c r="K14" s="3"/>
      <c r="L14" s="3"/>
      <c r="M14" s="3"/>
      <c r="N14" t="s">
        <v>759</v>
      </c>
    </row>
    <row r="15" spans="1:22" x14ac:dyDescent="0.25">
      <c r="A15" s="3" t="s">
        <v>34</v>
      </c>
      <c r="B15" s="3">
        <v>1</v>
      </c>
      <c r="C15" s="4">
        <v>4</v>
      </c>
      <c r="D15" s="3">
        <v>36</v>
      </c>
      <c r="E15" s="3"/>
      <c r="F15" s="3"/>
      <c r="G15" s="3"/>
      <c r="H15" s="3"/>
      <c r="I15" s="3"/>
      <c r="J15" s="3">
        <v>2</v>
      </c>
      <c r="K15" s="3"/>
      <c r="L15" s="3"/>
      <c r="M15" s="3"/>
      <c r="N15" t="s">
        <v>765</v>
      </c>
    </row>
    <row r="16" spans="1:22" x14ac:dyDescent="0.25">
      <c r="A16" s="3" t="s">
        <v>36</v>
      </c>
      <c r="B16" s="3">
        <v>1</v>
      </c>
      <c r="C16" s="4">
        <v>5</v>
      </c>
      <c r="D16" s="3">
        <v>37</v>
      </c>
      <c r="E16" s="3"/>
      <c r="F16" s="3"/>
      <c r="G16" s="3"/>
      <c r="H16" s="3"/>
      <c r="I16" s="3">
        <v>2</v>
      </c>
      <c r="J16" s="3"/>
      <c r="K16" s="3"/>
      <c r="L16" s="3"/>
      <c r="M16" s="3"/>
      <c r="N16" t="s">
        <v>787</v>
      </c>
    </row>
    <row r="17" spans="1:14" x14ac:dyDescent="0.25">
      <c r="A17" s="3" t="s">
        <v>38</v>
      </c>
      <c r="B17" s="3">
        <v>1</v>
      </c>
      <c r="C17" s="4">
        <v>6</v>
      </c>
      <c r="D17" s="3">
        <v>38</v>
      </c>
      <c r="E17" s="3"/>
      <c r="F17" s="3"/>
      <c r="G17" s="3"/>
      <c r="H17" s="3"/>
      <c r="I17" s="3">
        <v>2</v>
      </c>
      <c r="J17" s="3"/>
      <c r="K17" s="3"/>
      <c r="L17" s="3"/>
      <c r="M17" s="3"/>
      <c r="N17" t="s">
        <v>789</v>
      </c>
    </row>
    <row r="18" spans="1:14" x14ac:dyDescent="0.25">
      <c r="A18" s="3" t="s">
        <v>40</v>
      </c>
      <c r="B18" s="3">
        <v>1</v>
      </c>
      <c r="C18" s="4">
        <v>7</v>
      </c>
      <c r="D18" s="3">
        <v>39</v>
      </c>
      <c r="E18" s="3">
        <v>2</v>
      </c>
      <c r="F18" s="3">
        <v>2</v>
      </c>
      <c r="G18" s="3">
        <v>0</v>
      </c>
      <c r="H18" s="3">
        <v>3</v>
      </c>
      <c r="I18" s="3">
        <v>3</v>
      </c>
      <c r="J18" s="3"/>
      <c r="K18" s="3"/>
      <c r="L18" s="3"/>
      <c r="M18" s="3"/>
      <c r="N18" t="s">
        <v>795</v>
      </c>
    </row>
    <row r="19" spans="1:14" x14ac:dyDescent="0.25">
      <c r="A19" s="3" t="s">
        <v>42</v>
      </c>
      <c r="B19" s="3">
        <v>1</v>
      </c>
      <c r="C19" s="4">
        <v>8</v>
      </c>
      <c r="D19" s="3">
        <v>40</v>
      </c>
      <c r="E19" s="3">
        <v>10</v>
      </c>
      <c r="F19" s="3">
        <v>7</v>
      </c>
      <c r="G19" s="3">
        <v>0</v>
      </c>
      <c r="H19" s="3">
        <v>6</v>
      </c>
      <c r="I19" s="3">
        <v>1</v>
      </c>
      <c r="J19" s="3"/>
      <c r="K19" s="3"/>
      <c r="L19" s="3"/>
      <c r="M19" s="3"/>
      <c r="N19" t="s">
        <v>801</v>
      </c>
    </row>
    <row r="20" spans="1:14" x14ac:dyDescent="0.25">
      <c r="A20" s="3" t="s">
        <v>44</v>
      </c>
      <c r="B20" s="3">
        <v>1</v>
      </c>
      <c r="C20" s="4">
        <v>9</v>
      </c>
      <c r="D20" s="3">
        <v>41</v>
      </c>
      <c r="E20" s="3">
        <v>11</v>
      </c>
      <c r="F20" s="3">
        <v>7</v>
      </c>
      <c r="G20" s="3">
        <v>0</v>
      </c>
      <c r="H20" s="3">
        <v>5</v>
      </c>
      <c r="I20" s="3">
        <v>1</v>
      </c>
      <c r="J20" s="3"/>
      <c r="K20" s="3"/>
      <c r="L20" s="3"/>
      <c r="M20" s="3"/>
      <c r="N20" t="s">
        <v>805</v>
      </c>
    </row>
    <row r="21" spans="1:14" x14ac:dyDescent="0.25">
      <c r="A21" s="3" t="s">
        <v>46</v>
      </c>
      <c r="B21" s="3">
        <v>1</v>
      </c>
      <c r="C21" s="3">
        <v>10</v>
      </c>
      <c r="D21" s="3">
        <v>42</v>
      </c>
      <c r="E21" s="3"/>
      <c r="F21" s="3"/>
      <c r="G21" s="3"/>
      <c r="H21" s="3"/>
      <c r="I21" s="3"/>
      <c r="J21" s="3"/>
      <c r="K21" s="3"/>
      <c r="L21" s="3">
        <v>3</v>
      </c>
      <c r="M21" s="3"/>
      <c r="N21" t="s">
        <v>834</v>
      </c>
    </row>
    <row r="22" spans="1:14" x14ac:dyDescent="0.25">
      <c r="A22" s="3" t="s">
        <v>48</v>
      </c>
      <c r="B22" s="3">
        <v>1</v>
      </c>
      <c r="C22" s="3">
        <v>11</v>
      </c>
      <c r="D22" s="3">
        <v>43</v>
      </c>
      <c r="E22" s="3"/>
      <c r="F22" s="3"/>
      <c r="G22" s="3"/>
      <c r="H22" s="3"/>
      <c r="I22" s="3"/>
      <c r="J22" s="3"/>
      <c r="K22" s="3"/>
      <c r="L22" s="3">
        <v>3</v>
      </c>
      <c r="M22" s="3"/>
      <c r="N22" t="s">
        <v>836</v>
      </c>
    </row>
    <row r="23" spans="1:14" x14ac:dyDescent="0.25">
      <c r="A23" s="3" t="s">
        <v>50</v>
      </c>
      <c r="B23" s="3">
        <v>1</v>
      </c>
      <c r="C23" s="3">
        <v>12</v>
      </c>
      <c r="D23" s="3">
        <v>44</v>
      </c>
      <c r="E23" s="3"/>
      <c r="F23" s="3"/>
      <c r="G23" s="3"/>
      <c r="H23" s="3"/>
      <c r="I23" s="3"/>
      <c r="J23" s="3"/>
      <c r="K23" s="3"/>
      <c r="L23" s="3">
        <v>2</v>
      </c>
      <c r="M23" s="3"/>
      <c r="N23" t="s">
        <v>844</v>
      </c>
    </row>
    <row r="24" spans="1:14" x14ac:dyDescent="0.25">
      <c r="A24" s="3" t="s">
        <v>52</v>
      </c>
      <c r="B24" s="3">
        <v>1</v>
      </c>
      <c r="C24" s="3">
        <v>13</v>
      </c>
      <c r="D24" s="3">
        <v>45</v>
      </c>
      <c r="E24" s="3"/>
      <c r="F24" s="3"/>
      <c r="G24" s="3"/>
      <c r="H24" s="3"/>
      <c r="I24" s="3"/>
      <c r="J24" s="3"/>
      <c r="K24" s="3"/>
      <c r="L24" s="3">
        <v>2</v>
      </c>
      <c r="M24" s="3"/>
      <c r="N24" t="s">
        <v>850</v>
      </c>
    </row>
    <row r="25" spans="1:14" x14ac:dyDescent="0.25">
      <c r="A25" s="3" t="s">
        <v>54</v>
      </c>
      <c r="B25" s="3">
        <v>1</v>
      </c>
      <c r="C25" s="4">
        <v>14</v>
      </c>
      <c r="D25" s="3">
        <v>46</v>
      </c>
      <c r="E25" s="3"/>
      <c r="F25" s="3"/>
      <c r="G25" s="3"/>
      <c r="H25" s="3"/>
      <c r="I25" s="3"/>
      <c r="J25" s="3"/>
      <c r="K25" s="3"/>
      <c r="L25" s="3">
        <v>1</v>
      </c>
      <c r="M25" s="3"/>
      <c r="N25" t="s">
        <v>560</v>
      </c>
    </row>
    <row r="26" spans="1:14" x14ac:dyDescent="0.25">
      <c r="A26" s="3" t="s">
        <v>56</v>
      </c>
      <c r="B26" s="3">
        <v>1</v>
      </c>
      <c r="C26" s="4">
        <v>15</v>
      </c>
      <c r="D26" s="3">
        <v>47</v>
      </c>
      <c r="E26" s="3"/>
      <c r="F26" s="3"/>
      <c r="G26" s="3"/>
      <c r="H26" s="3"/>
      <c r="I26" s="3"/>
      <c r="J26" s="3"/>
      <c r="K26" s="3"/>
      <c r="L26" s="3">
        <v>1</v>
      </c>
      <c r="M26" s="3"/>
      <c r="N26" t="s">
        <v>563</v>
      </c>
    </row>
    <row r="27" spans="1:14" x14ac:dyDescent="0.25">
      <c r="A27" s="3" t="s">
        <v>58</v>
      </c>
      <c r="B27" s="3">
        <v>2</v>
      </c>
      <c r="C27" s="4">
        <v>0</v>
      </c>
      <c r="D27" s="3">
        <v>48</v>
      </c>
      <c r="E27" s="3">
        <v>12</v>
      </c>
      <c r="F27" s="3">
        <v>7</v>
      </c>
      <c r="G27" s="3"/>
      <c r="H27" s="3"/>
      <c r="I27" s="3"/>
      <c r="J27" s="3"/>
      <c r="K27" s="3"/>
      <c r="L27" s="3"/>
      <c r="M27" s="3"/>
      <c r="N27" t="s">
        <v>784</v>
      </c>
    </row>
    <row r="28" spans="1:14" x14ac:dyDescent="0.25">
      <c r="A28" s="3" t="s">
        <v>60</v>
      </c>
      <c r="B28" s="3">
        <v>2</v>
      </c>
      <c r="C28" s="4">
        <v>1</v>
      </c>
      <c r="D28" s="3">
        <v>49</v>
      </c>
      <c r="E28" s="3">
        <v>13</v>
      </c>
      <c r="F28" s="3">
        <v>7</v>
      </c>
      <c r="G28" s="3">
        <v>1</v>
      </c>
      <c r="H28" s="3">
        <v>1</v>
      </c>
      <c r="I28" s="3"/>
      <c r="J28" s="3">
        <v>3</v>
      </c>
      <c r="K28" s="3"/>
      <c r="L28" s="3"/>
      <c r="M28" s="3"/>
      <c r="N28" t="s">
        <v>822</v>
      </c>
    </row>
    <row r="29" spans="1:14" x14ac:dyDescent="0.25">
      <c r="A29" s="3" t="s">
        <v>62</v>
      </c>
      <c r="B29" s="3">
        <v>2</v>
      </c>
      <c r="C29" s="4">
        <v>2</v>
      </c>
      <c r="D29" s="3">
        <v>50</v>
      </c>
      <c r="E29" s="3">
        <v>14</v>
      </c>
      <c r="F29" s="3">
        <v>7</v>
      </c>
      <c r="G29" s="3">
        <v>1</v>
      </c>
      <c r="H29" s="3">
        <v>2</v>
      </c>
      <c r="I29" s="3"/>
      <c r="J29" s="3">
        <v>3</v>
      </c>
      <c r="K29" s="3"/>
      <c r="L29" s="3"/>
      <c r="M29" s="3"/>
      <c r="N29" t="s">
        <v>824</v>
      </c>
    </row>
    <row r="30" spans="1:14" x14ac:dyDescent="0.25">
      <c r="A30" s="3" t="s">
        <v>64</v>
      </c>
      <c r="B30" s="3">
        <v>2</v>
      </c>
      <c r="C30" s="4">
        <v>3</v>
      </c>
      <c r="D30" s="3">
        <v>51</v>
      </c>
      <c r="E30" s="3">
        <v>15</v>
      </c>
      <c r="F30" s="3">
        <v>7</v>
      </c>
      <c r="G30" s="3">
        <v>0</v>
      </c>
      <c r="H30" s="3">
        <v>2</v>
      </c>
      <c r="I30" s="3"/>
      <c r="J30" s="3"/>
      <c r="K30" s="3"/>
      <c r="L30" s="3"/>
      <c r="M30" s="3"/>
      <c r="N30" t="s">
        <v>831</v>
      </c>
    </row>
    <row r="31" spans="1:14" x14ac:dyDescent="0.25">
      <c r="A31" s="3" t="s">
        <v>66</v>
      </c>
      <c r="B31" s="3">
        <v>2</v>
      </c>
      <c r="C31" s="4">
        <v>4</v>
      </c>
      <c r="D31" s="3">
        <v>52</v>
      </c>
      <c r="E31" s="3"/>
      <c r="F31" s="3"/>
      <c r="G31" s="3"/>
      <c r="H31" s="3"/>
      <c r="I31" s="3">
        <v>2</v>
      </c>
      <c r="J31" s="3"/>
      <c r="K31" s="3"/>
      <c r="L31" s="3">
        <v>5</v>
      </c>
      <c r="M31" s="3"/>
      <c r="N31" t="s">
        <v>811</v>
      </c>
    </row>
    <row r="32" spans="1:14" x14ac:dyDescent="0.25">
      <c r="A32" s="3" t="s">
        <v>68</v>
      </c>
      <c r="B32" s="3">
        <v>2</v>
      </c>
      <c r="C32" s="3">
        <v>5</v>
      </c>
      <c r="D32" s="3">
        <v>53</v>
      </c>
      <c r="E32" s="3"/>
      <c r="F32" s="3"/>
      <c r="G32" s="3"/>
      <c r="H32" s="3"/>
      <c r="I32" s="3">
        <v>2</v>
      </c>
      <c r="J32" s="3"/>
      <c r="K32" s="3"/>
      <c r="L32" s="3">
        <v>5</v>
      </c>
      <c r="M32" s="3"/>
      <c r="N32" t="s">
        <v>815</v>
      </c>
    </row>
    <row r="33" spans="1:14" x14ac:dyDescent="0.25">
      <c r="A33" s="3" t="s">
        <v>70</v>
      </c>
      <c r="B33" s="3">
        <v>2</v>
      </c>
      <c r="C33" s="4">
        <v>6</v>
      </c>
      <c r="D33" s="3">
        <v>54</v>
      </c>
      <c r="E33" s="3">
        <v>17</v>
      </c>
      <c r="F33" s="3">
        <v>7</v>
      </c>
      <c r="G33" s="3">
        <v>1</v>
      </c>
      <c r="H33" s="3">
        <v>4</v>
      </c>
      <c r="I33" s="3"/>
      <c r="J33" s="3"/>
      <c r="K33" s="3"/>
      <c r="L33" s="3"/>
      <c r="M33" s="3"/>
      <c r="N33" t="s">
        <v>826</v>
      </c>
    </row>
    <row r="34" spans="1:14" x14ac:dyDescent="0.25">
      <c r="A34" s="3" t="s">
        <v>72</v>
      </c>
      <c r="B34" s="3">
        <v>2</v>
      </c>
      <c r="C34" s="4">
        <v>7</v>
      </c>
      <c r="D34" s="3">
        <v>55</v>
      </c>
      <c r="E34" s="3">
        <v>16</v>
      </c>
      <c r="F34" s="3">
        <v>7</v>
      </c>
      <c r="G34" s="3">
        <v>2</v>
      </c>
      <c r="H34" s="3">
        <v>4</v>
      </c>
      <c r="I34" s="3"/>
      <c r="J34" s="3"/>
      <c r="K34" s="3"/>
      <c r="L34" s="3"/>
      <c r="M34" s="3"/>
      <c r="N34" t="s">
        <v>849</v>
      </c>
    </row>
    <row r="35" spans="1:14" x14ac:dyDescent="0.25">
      <c r="A35" s="3" t="s">
        <v>74</v>
      </c>
      <c r="B35" s="3">
        <v>2</v>
      </c>
      <c r="C35" s="4">
        <v>8</v>
      </c>
      <c r="D35" s="3">
        <v>56</v>
      </c>
      <c r="E35" s="3"/>
      <c r="F35" s="3"/>
      <c r="G35" s="3"/>
      <c r="H35" s="3"/>
      <c r="I35" s="3">
        <v>1</v>
      </c>
      <c r="J35" s="3"/>
      <c r="K35" s="3"/>
      <c r="L35" s="3"/>
      <c r="M35" s="3">
        <v>2</v>
      </c>
      <c r="N35" t="s">
        <v>767</v>
      </c>
    </row>
    <row r="36" spans="1:14" x14ac:dyDescent="0.25">
      <c r="A36" s="3" t="s">
        <v>76</v>
      </c>
      <c r="B36" s="3">
        <v>2</v>
      </c>
      <c r="C36" s="4">
        <v>9</v>
      </c>
      <c r="D36" s="3">
        <v>57</v>
      </c>
      <c r="E36" s="3"/>
      <c r="F36" s="3"/>
      <c r="G36" s="3"/>
      <c r="H36" s="3"/>
      <c r="I36" s="3">
        <v>1</v>
      </c>
      <c r="J36" s="3"/>
      <c r="K36" s="3"/>
      <c r="L36" s="3"/>
      <c r="M36" s="3">
        <v>2</v>
      </c>
      <c r="N36" t="s">
        <v>769</v>
      </c>
    </row>
    <row r="37" spans="1:14" x14ac:dyDescent="0.25">
      <c r="A37" s="3" t="s">
        <v>78</v>
      </c>
      <c r="B37" s="3">
        <v>2</v>
      </c>
      <c r="C37" s="3">
        <v>10</v>
      </c>
      <c r="D37" s="3">
        <v>58</v>
      </c>
      <c r="E37" s="3"/>
      <c r="F37" s="3"/>
      <c r="G37" s="3"/>
      <c r="H37" s="3"/>
      <c r="I37" s="3"/>
      <c r="J37" s="3"/>
      <c r="K37" s="3"/>
      <c r="L37" s="3">
        <v>7</v>
      </c>
      <c r="M37" s="3"/>
      <c r="N37" t="s">
        <v>817</v>
      </c>
    </row>
    <row r="38" spans="1:14" x14ac:dyDescent="0.25">
      <c r="A38" s="3" t="s">
        <v>80</v>
      </c>
      <c r="B38" s="3">
        <v>2</v>
      </c>
      <c r="C38" s="3">
        <v>11</v>
      </c>
      <c r="D38" s="3">
        <v>59</v>
      </c>
      <c r="E38" s="3"/>
      <c r="F38" s="3"/>
      <c r="G38" s="3"/>
      <c r="H38" s="3"/>
      <c r="I38" s="3"/>
      <c r="J38" s="3"/>
      <c r="K38" s="3"/>
      <c r="L38" s="3">
        <v>7</v>
      </c>
      <c r="M38" s="3"/>
      <c r="N38" t="s">
        <v>819</v>
      </c>
    </row>
    <row r="39" spans="1:14" x14ac:dyDescent="0.25">
      <c r="A39" s="3" t="s">
        <v>82</v>
      </c>
      <c r="B39" s="3">
        <v>2</v>
      </c>
      <c r="C39" s="4">
        <v>12</v>
      </c>
      <c r="D39" s="3">
        <v>60</v>
      </c>
      <c r="E39" s="3"/>
      <c r="F39" s="3"/>
      <c r="G39" s="3"/>
      <c r="H39" s="3"/>
      <c r="I39" s="3"/>
      <c r="J39" s="3"/>
      <c r="K39" s="3"/>
      <c r="L39" s="3">
        <v>8</v>
      </c>
      <c r="M39" s="3"/>
      <c r="N39" t="s">
        <v>762</v>
      </c>
    </row>
    <row r="40" spans="1:14" x14ac:dyDescent="0.25">
      <c r="A40" s="3" t="s">
        <v>84</v>
      </c>
      <c r="B40" s="3">
        <v>2</v>
      </c>
      <c r="C40" s="4">
        <v>13</v>
      </c>
      <c r="D40" s="3">
        <v>61</v>
      </c>
      <c r="E40" s="3"/>
      <c r="F40" s="3"/>
      <c r="G40" s="3"/>
      <c r="H40" s="3"/>
      <c r="I40" s="3"/>
      <c r="J40" s="3"/>
      <c r="K40" s="3"/>
      <c r="L40" s="3">
        <v>8</v>
      </c>
      <c r="M40" s="3"/>
      <c r="N40" t="s">
        <v>764</v>
      </c>
    </row>
    <row r="41" spans="1:14" x14ac:dyDescent="0.25">
      <c r="A41" s="3" t="s">
        <v>86</v>
      </c>
      <c r="B41" s="3">
        <v>2</v>
      </c>
      <c r="C41" s="4">
        <v>14</v>
      </c>
      <c r="D41" s="3">
        <v>62</v>
      </c>
      <c r="E41" s="3"/>
      <c r="F41" s="3"/>
      <c r="G41" s="3"/>
      <c r="H41" s="3"/>
      <c r="I41" s="3"/>
      <c r="J41" s="3"/>
      <c r="K41" s="3"/>
      <c r="L41" s="3">
        <v>6</v>
      </c>
      <c r="M41" s="3"/>
      <c r="N41" t="s">
        <v>766</v>
      </c>
    </row>
    <row r="42" spans="1:14" x14ac:dyDescent="0.25">
      <c r="A42" s="3" t="s">
        <v>88</v>
      </c>
      <c r="B42" s="3">
        <v>2</v>
      </c>
      <c r="C42" s="4">
        <v>15</v>
      </c>
      <c r="D42" s="3">
        <v>63</v>
      </c>
      <c r="E42" s="3"/>
      <c r="F42" s="3"/>
      <c r="G42" s="3"/>
      <c r="H42" s="3"/>
      <c r="I42" s="3"/>
      <c r="J42" s="3"/>
      <c r="K42" s="3"/>
      <c r="L42" s="3">
        <v>6</v>
      </c>
      <c r="M42" s="3"/>
      <c r="N42" t="s">
        <v>768</v>
      </c>
    </row>
    <row r="43" spans="1:14" x14ac:dyDescent="0.25">
      <c r="A43" s="3" t="s">
        <v>90</v>
      </c>
      <c r="B43" s="3">
        <v>3</v>
      </c>
      <c r="C43" s="3">
        <v>0</v>
      </c>
      <c r="D43" s="3">
        <v>64</v>
      </c>
      <c r="E43" s="3"/>
      <c r="F43" s="3"/>
      <c r="G43" s="3"/>
      <c r="H43" s="3"/>
      <c r="I43" s="3"/>
      <c r="J43" s="3"/>
      <c r="K43" s="3"/>
      <c r="L43" s="3">
        <v>4</v>
      </c>
      <c r="M43" s="3"/>
      <c r="N43" t="s">
        <v>832</v>
      </c>
    </row>
    <row r="44" spans="1:14" x14ac:dyDescent="0.25">
      <c r="A44" s="3" t="s">
        <v>92</v>
      </c>
      <c r="B44" s="3">
        <v>3</v>
      </c>
      <c r="C44" s="3">
        <v>1</v>
      </c>
      <c r="D44" s="3">
        <v>65</v>
      </c>
      <c r="E44" s="3"/>
      <c r="F44" s="3"/>
      <c r="G44" s="3"/>
      <c r="H44" s="3"/>
      <c r="I44" s="3"/>
      <c r="J44" s="3"/>
      <c r="K44" s="3"/>
      <c r="L44" s="3">
        <v>4</v>
      </c>
      <c r="M44" s="3"/>
      <c r="N44" t="s">
        <v>830</v>
      </c>
    </row>
    <row r="45" spans="1:14" x14ac:dyDescent="0.25">
      <c r="A45" s="3" t="s">
        <v>94</v>
      </c>
      <c r="B45" s="3">
        <v>3</v>
      </c>
      <c r="C45" s="3">
        <v>2</v>
      </c>
      <c r="D45" s="3">
        <v>66</v>
      </c>
      <c r="E45" s="3"/>
      <c r="F45" s="3"/>
      <c r="G45" s="3"/>
      <c r="H45" s="3"/>
      <c r="I45" s="3"/>
      <c r="J45" s="3"/>
      <c r="K45" s="3"/>
      <c r="L45" s="3"/>
      <c r="M45" s="3"/>
      <c r="N45" t="s">
        <v>829</v>
      </c>
    </row>
    <row r="46" spans="1:14" x14ac:dyDescent="0.25">
      <c r="A46" s="3" t="s">
        <v>96</v>
      </c>
      <c r="B46" s="3">
        <v>3</v>
      </c>
      <c r="C46" s="3">
        <v>3</v>
      </c>
      <c r="D46" s="3">
        <v>67</v>
      </c>
      <c r="E46" s="3"/>
      <c r="F46" s="3"/>
      <c r="G46" s="3"/>
      <c r="H46" s="3"/>
      <c r="I46" s="3">
        <v>3</v>
      </c>
      <c r="J46" s="3"/>
      <c r="K46" s="3"/>
      <c r="L46" s="3"/>
      <c r="M46" s="3"/>
      <c r="N46" t="s">
        <v>823</v>
      </c>
    </row>
    <row r="47" spans="1:14" x14ac:dyDescent="0.25">
      <c r="A47" s="3" t="s">
        <v>98</v>
      </c>
      <c r="B47" s="3">
        <v>3</v>
      </c>
      <c r="C47" s="3">
        <v>4</v>
      </c>
      <c r="D47" s="3">
        <v>68</v>
      </c>
      <c r="E47" s="3"/>
      <c r="F47" s="3"/>
      <c r="G47" s="3"/>
      <c r="H47" s="3"/>
      <c r="I47" s="3">
        <v>3</v>
      </c>
      <c r="J47" s="3"/>
      <c r="K47" s="3"/>
      <c r="L47" s="3"/>
      <c r="M47" s="3"/>
      <c r="N47" t="s">
        <v>821</v>
      </c>
    </row>
    <row r="48" spans="1:14" x14ac:dyDescent="0.25">
      <c r="A48" s="3" t="s">
        <v>100</v>
      </c>
      <c r="B48" s="3">
        <v>3</v>
      </c>
      <c r="C48" s="4">
        <v>5</v>
      </c>
      <c r="D48" s="3">
        <v>69</v>
      </c>
      <c r="E48" s="3"/>
      <c r="F48" s="3"/>
      <c r="G48" s="3"/>
      <c r="H48" s="3"/>
      <c r="I48" s="3"/>
      <c r="J48" s="3"/>
      <c r="K48" s="3"/>
      <c r="L48" s="3"/>
      <c r="M48" s="3"/>
      <c r="N48" t="s">
        <v>785</v>
      </c>
    </row>
    <row r="49" spans="1:14" x14ac:dyDescent="0.25">
      <c r="A49" s="3" t="s">
        <v>102</v>
      </c>
      <c r="B49" s="3">
        <v>3</v>
      </c>
      <c r="C49" s="4">
        <v>6</v>
      </c>
      <c r="D49" s="3">
        <v>70</v>
      </c>
      <c r="E49" s="3"/>
      <c r="F49" s="3"/>
      <c r="G49" s="3"/>
      <c r="H49" s="3"/>
      <c r="I49" s="3"/>
      <c r="J49" s="3"/>
      <c r="K49" s="3"/>
      <c r="L49" s="3"/>
      <c r="M49" s="3"/>
      <c r="N49" t="s">
        <v>783</v>
      </c>
    </row>
    <row r="50" spans="1:14" x14ac:dyDescent="0.25">
      <c r="A50" s="3" t="s">
        <v>104</v>
      </c>
      <c r="B50" s="3">
        <v>3</v>
      </c>
      <c r="C50" s="4">
        <v>7</v>
      </c>
      <c r="D50" s="3">
        <v>71</v>
      </c>
      <c r="E50" s="3"/>
      <c r="F50" s="3"/>
      <c r="G50" s="3"/>
      <c r="H50" s="3"/>
      <c r="I50" s="3"/>
      <c r="J50" s="3"/>
      <c r="K50" s="3"/>
      <c r="L50" s="3"/>
      <c r="M50" s="3"/>
      <c r="N50" t="s">
        <v>781</v>
      </c>
    </row>
    <row r="51" spans="1:14" x14ac:dyDescent="0.25">
      <c r="A51" s="3" t="s">
        <v>106</v>
      </c>
      <c r="B51" s="3">
        <v>3</v>
      </c>
      <c r="C51" s="4">
        <v>8</v>
      </c>
      <c r="D51" s="3">
        <v>72</v>
      </c>
      <c r="E51" s="3"/>
      <c r="F51" s="3"/>
      <c r="G51" s="3"/>
      <c r="H51" s="3"/>
      <c r="I51" s="3"/>
      <c r="J51" s="3"/>
      <c r="K51" s="3"/>
      <c r="L51" s="3"/>
      <c r="M51" s="3">
        <v>2</v>
      </c>
      <c r="N51" t="s">
        <v>775</v>
      </c>
    </row>
    <row r="52" spans="1:14" x14ac:dyDescent="0.25">
      <c r="A52" s="3" t="s">
        <v>108</v>
      </c>
      <c r="B52" s="3">
        <v>3</v>
      </c>
      <c r="C52" s="4">
        <v>9</v>
      </c>
      <c r="D52" s="3">
        <v>73</v>
      </c>
      <c r="E52" s="3"/>
      <c r="F52" s="3"/>
      <c r="G52" s="3"/>
      <c r="H52" s="3"/>
      <c r="I52" s="3"/>
      <c r="J52" s="3"/>
      <c r="K52" s="3"/>
      <c r="L52" s="3"/>
      <c r="M52" s="3"/>
      <c r="N52" t="s">
        <v>773</v>
      </c>
    </row>
    <row r="53" spans="1:14" x14ac:dyDescent="0.25">
      <c r="A53" s="3" t="s">
        <v>110</v>
      </c>
      <c r="B53" s="3">
        <v>3</v>
      </c>
      <c r="C53" s="4">
        <v>10</v>
      </c>
      <c r="D53" s="3">
        <v>74</v>
      </c>
      <c r="E53" s="3">
        <v>18</v>
      </c>
      <c r="F53" s="3">
        <v>7</v>
      </c>
      <c r="G53" s="3">
        <v>2</v>
      </c>
      <c r="H53" s="3">
        <v>3</v>
      </c>
      <c r="I53" s="3"/>
      <c r="J53" s="3"/>
      <c r="K53" s="3"/>
      <c r="L53" s="3"/>
      <c r="M53" s="3"/>
      <c r="N53" t="s">
        <v>843</v>
      </c>
    </row>
    <row r="54" spans="1:14" x14ac:dyDescent="0.25">
      <c r="A54" s="3" t="s">
        <v>112</v>
      </c>
      <c r="B54" s="3">
        <v>3</v>
      </c>
      <c r="C54" s="4">
        <v>11</v>
      </c>
      <c r="D54" s="3">
        <v>75</v>
      </c>
      <c r="E54" s="3">
        <v>19</v>
      </c>
      <c r="F54" s="3">
        <v>7</v>
      </c>
      <c r="G54" s="3">
        <v>2</v>
      </c>
      <c r="H54" s="3">
        <v>2</v>
      </c>
      <c r="I54" s="3"/>
      <c r="J54" s="3"/>
      <c r="K54" s="3"/>
      <c r="L54" s="3"/>
      <c r="M54" s="3"/>
      <c r="N54" t="s">
        <v>837</v>
      </c>
    </row>
    <row r="55" spans="1:14" x14ac:dyDescent="0.25">
      <c r="A55" s="3" t="s">
        <v>114</v>
      </c>
      <c r="B55" s="3">
        <v>3</v>
      </c>
      <c r="C55" s="4">
        <v>12</v>
      </c>
      <c r="D55" s="3">
        <v>76</v>
      </c>
      <c r="E55" s="3"/>
      <c r="F55" s="3"/>
      <c r="G55" s="3"/>
      <c r="H55" s="3"/>
      <c r="I55" s="3"/>
      <c r="J55" s="3"/>
      <c r="K55" s="3"/>
      <c r="L55" s="3"/>
      <c r="M55" s="3"/>
      <c r="N55" t="s">
        <v>820</v>
      </c>
    </row>
    <row r="56" spans="1:14" x14ac:dyDescent="0.25">
      <c r="A56" s="3" t="s">
        <v>116</v>
      </c>
      <c r="B56" s="3">
        <v>3</v>
      </c>
      <c r="C56" s="4">
        <v>13</v>
      </c>
      <c r="D56" s="3">
        <v>77</v>
      </c>
      <c r="E56" s="3"/>
      <c r="F56" s="3"/>
      <c r="G56" s="3">
        <v>1</v>
      </c>
      <c r="H56" s="3">
        <v>5</v>
      </c>
      <c r="I56" s="3"/>
      <c r="J56" s="3"/>
      <c r="K56" s="3"/>
      <c r="L56" s="3"/>
      <c r="M56" s="3"/>
      <c r="N56" t="s">
        <v>782</v>
      </c>
    </row>
    <row r="57" spans="1:14" x14ac:dyDescent="0.25">
      <c r="A57" s="3" t="s">
        <v>118</v>
      </c>
      <c r="B57" s="3">
        <v>3</v>
      </c>
      <c r="C57" s="4">
        <v>14</v>
      </c>
      <c r="D57" s="3">
        <v>78</v>
      </c>
      <c r="E57" s="3"/>
      <c r="F57" s="3"/>
      <c r="G57" s="3"/>
      <c r="H57" s="3"/>
      <c r="I57" s="3"/>
      <c r="J57" s="3"/>
      <c r="K57" s="3"/>
      <c r="L57" s="3"/>
      <c r="M57" s="3"/>
      <c r="N57" t="s">
        <v>780</v>
      </c>
    </row>
    <row r="58" spans="1:14" x14ac:dyDescent="0.25">
      <c r="A58" s="3" t="s">
        <v>120</v>
      </c>
      <c r="B58" s="3">
        <v>3</v>
      </c>
      <c r="C58" s="4">
        <v>15</v>
      </c>
      <c r="D58" s="3">
        <v>79</v>
      </c>
      <c r="E58" s="3"/>
      <c r="F58" s="3"/>
      <c r="G58" s="3"/>
      <c r="H58" s="3"/>
      <c r="I58" s="3"/>
      <c r="J58" s="3"/>
      <c r="K58" s="3"/>
      <c r="L58" s="3"/>
      <c r="M58" s="3"/>
      <c r="N58" t="s">
        <v>772</v>
      </c>
    </row>
    <row r="59" spans="1:14" x14ac:dyDescent="0.25">
      <c r="A59" s="3" t="s">
        <v>122</v>
      </c>
      <c r="B59" s="3">
        <v>4</v>
      </c>
      <c r="C59" s="4">
        <v>0</v>
      </c>
      <c r="D59" s="3"/>
      <c r="E59" s="3">
        <v>20</v>
      </c>
      <c r="F59" s="3">
        <v>7</v>
      </c>
      <c r="G59" s="3">
        <v>2</v>
      </c>
      <c r="H59" s="3">
        <v>5</v>
      </c>
      <c r="I59" s="3"/>
      <c r="J59" s="3"/>
      <c r="K59" s="3"/>
      <c r="L59" s="3"/>
      <c r="M59" s="3"/>
      <c r="N59" t="s">
        <v>562</v>
      </c>
    </row>
    <row r="60" spans="1:14" x14ac:dyDescent="0.25">
      <c r="A60" s="3" t="s">
        <v>124</v>
      </c>
      <c r="B60" s="3">
        <v>4</v>
      </c>
      <c r="C60" s="4">
        <v>1</v>
      </c>
      <c r="D60" s="3"/>
      <c r="E60" s="3">
        <v>21</v>
      </c>
      <c r="F60" s="3">
        <v>7</v>
      </c>
      <c r="G60" s="3">
        <v>1</v>
      </c>
      <c r="H60" s="3">
        <v>6</v>
      </c>
      <c r="I60" s="3"/>
      <c r="J60" s="3"/>
      <c r="K60" s="3"/>
      <c r="L60" s="3"/>
      <c r="M60" s="3"/>
      <c r="N60" t="s">
        <v>565</v>
      </c>
    </row>
    <row r="61" spans="1:14" x14ac:dyDescent="0.25">
      <c r="A61" s="3" t="s">
        <v>126</v>
      </c>
      <c r="B61" s="3">
        <v>4</v>
      </c>
      <c r="C61" s="4">
        <v>2</v>
      </c>
      <c r="D61" s="3"/>
      <c r="E61" s="3">
        <v>22</v>
      </c>
      <c r="F61" s="3">
        <v>7</v>
      </c>
      <c r="G61" s="3">
        <v>2</v>
      </c>
      <c r="H61" s="3">
        <v>6</v>
      </c>
      <c r="I61" s="3"/>
      <c r="J61" s="3"/>
      <c r="K61" s="3"/>
      <c r="L61" s="3"/>
      <c r="M61" s="3"/>
      <c r="N61" t="s">
        <v>788</v>
      </c>
    </row>
    <row r="62" spans="1:14" x14ac:dyDescent="0.25">
      <c r="A62" s="3" t="s">
        <v>128</v>
      </c>
      <c r="B62" s="3">
        <v>4</v>
      </c>
      <c r="C62" s="4">
        <v>3</v>
      </c>
      <c r="D62" s="3"/>
      <c r="E62" s="3">
        <v>23</v>
      </c>
      <c r="F62" s="3">
        <v>7</v>
      </c>
      <c r="G62" s="3"/>
      <c r="H62" s="3"/>
      <c r="I62" s="3"/>
      <c r="J62" s="3"/>
      <c r="K62" s="3"/>
      <c r="L62" s="3"/>
      <c r="M62" s="3"/>
      <c r="N62" t="s">
        <v>794</v>
      </c>
    </row>
    <row r="63" spans="1:14" x14ac:dyDescent="0.25">
      <c r="A63" s="3" t="s">
        <v>130</v>
      </c>
      <c r="B63" s="3">
        <v>4</v>
      </c>
      <c r="C63" s="4">
        <v>4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806</v>
      </c>
    </row>
    <row r="64" spans="1:14" x14ac:dyDescent="0.25">
      <c r="A64" s="3" t="s">
        <v>132</v>
      </c>
      <c r="B64" s="3">
        <v>4</v>
      </c>
      <c r="C64" s="4">
        <v>5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812</v>
      </c>
    </row>
    <row r="65" spans="1:14" x14ac:dyDescent="0.25">
      <c r="A65" s="3" t="s">
        <v>134</v>
      </c>
      <c r="B65" s="3">
        <v>4</v>
      </c>
      <c r="C65" s="4">
        <v>6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839</v>
      </c>
    </row>
    <row r="66" spans="1:14" x14ac:dyDescent="0.25">
      <c r="A66" s="3" t="s">
        <v>136</v>
      </c>
      <c r="B66" s="3">
        <v>4</v>
      </c>
      <c r="C66" s="4">
        <v>7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845</v>
      </c>
    </row>
    <row r="67" spans="1:14" x14ac:dyDescent="0.25">
      <c r="A67" s="3" t="s">
        <v>138</v>
      </c>
      <c r="B67" s="3">
        <v>4</v>
      </c>
      <c r="C67" s="4">
        <v>8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757</v>
      </c>
    </row>
    <row r="68" spans="1:14" x14ac:dyDescent="0.25">
      <c r="A68" s="3" t="s">
        <v>140</v>
      </c>
      <c r="B68" s="3">
        <v>4</v>
      </c>
      <c r="C68" s="4">
        <v>9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761</v>
      </c>
    </row>
    <row r="69" spans="1:14" x14ac:dyDescent="0.25">
      <c r="A69" s="3" t="s">
        <v>142</v>
      </c>
      <c r="B69" s="3">
        <v>4</v>
      </c>
      <c r="C69" s="4">
        <v>10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791</v>
      </c>
    </row>
    <row r="70" spans="1:14" x14ac:dyDescent="0.25">
      <c r="A70" s="3" t="s">
        <v>144</v>
      </c>
      <c r="B70" s="3">
        <v>4</v>
      </c>
      <c r="C70" s="4">
        <v>11</v>
      </c>
      <c r="D70" s="3"/>
      <c r="E70" s="3"/>
      <c r="F70" s="3"/>
      <c r="G70" s="3"/>
      <c r="H70" s="3"/>
      <c r="I70" s="3"/>
      <c r="J70" s="3"/>
      <c r="K70" s="3"/>
      <c r="L70" s="3">
        <v>4</v>
      </c>
      <c r="M70" s="3"/>
      <c r="N70" t="s">
        <v>797</v>
      </c>
    </row>
    <row r="71" spans="1:14" x14ac:dyDescent="0.25">
      <c r="A71" s="3" t="s">
        <v>146</v>
      </c>
      <c r="B71" s="3">
        <v>4</v>
      </c>
      <c r="C71" s="4">
        <v>12</v>
      </c>
      <c r="D71" s="3"/>
      <c r="E71" s="3"/>
      <c r="F71" s="3"/>
      <c r="G71" s="3"/>
      <c r="H71" s="3"/>
      <c r="I71" s="3"/>
      <c r="J71" s="3"/>
      <c r="K71" s="3"/>
      <c r="L71" s="3">
        <v>2</v>
      </c>
      <c r="M71" s="3"/>
      <c r="N71" t="s">
        <v>807</v>
      </c>
    </row>
    <row r="72" spans="1:14" x14ac:dyDescent="0.25">
      <c r="A72" s="3" t="s">
        <v>148</v>
      </c>
      <c r="B72" s="3">
        <v>4</v>
      </c>
      <c r="C72" s="3">
        <v>13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813</v>
      </c>
    </row>
    <row r="73" spans="1:14" x14ac:dyDescent="0.25">
      <c r="A73" s="3" t="s">
        <v>150</v>
      </c>
      <c r="B73" s="3">
        <v>4</v>
      </c>
      <c r="C73" s="3">
        <v>14</v>
      </c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838</v>
      </c>
    </row>
    <row r="74" spans="1:14" x14ac:dyDescent="0.25">
      <c r="A74" s="3" t="s">
        <v>152</v>
      </c>
      <c r="B74" s="3">
        <v>4</v>
      </c>
      <c r="C74" s="3">
        <v>15</v>
      </c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846</v>
      </c>
    </row>
    <row r="75" spans="1:14" x14ac:dyDescent="0.25">
      <c r="A75" s="3" t="s">
        <v>851</v>
      </c>
      <c r="B75" s="3">
        <v>5</v>
      </c>
      <c r="C75" s="4">
        <v>0</v>
      </c>
      <c r="D75" s="3">
        <v>80</v>
      </c>
      <c r="E75" s="3"/>
      <c r="F75" s="3"/>
      <c r="G75" s="3"/>
      <c r="H75" s="3"/>
      <c r="I75" s="3"/>
      <c r="J75" s="3"/>
      <c r="K75" s="3"/>
      <c r="L75" s="3"/>
      <c r="M75" s="3"/>
      <c r="N75" t="s">
        <v>760</v>
      </c>
    </row>
    <row r="76" spans="1:14" x14ac:dyDescent="0.25">
      <c r="A76" s="3" t="s">
        <v>852</v>
      </c>
      <c r="B76" s="3">
        <v>5</v>
      </c>
      <c r="C76" s="4">
        <v>1</v>
      </c>
      <c r="D76" s="3">
        <v>81</v>
      </c>
      <c r="E76" s="3"/>
      <c r="F76" s="3"/>
      <c r="G76" s="3"/>
      <c r="H76" s="3"/>
      <c r="I76" s="3"/>
      <c r="J76" s="3"/>
      <c r="K76" s="3"/>
      <c r="L76" s="3"/>
      <c r="M76" s="3"/>
      <c r="N76" t="s">
        <v>774</v>
      </c>
    </row>
    <row r="77" spans="1:14" x14ac:dyDescent="0.25">
      <c r="A77" s="3" t="s">
        <v>853</v>
      </c>
      <c r="B77" s="3">
        <v>5</v>
      </c>
      <c r="C77" s="4">
        <v>2</v>
      </c>
      <c r="D77" s="3">
        <v>82</v>
      </c>
      <c r="E77" s="3"/>
      <c r="F77" s="3"/>
      <c r="G77" s="3"/>
      <c r="H77" s="3"/>
      <c r="I77" s="3"/>
      <c r="J77" s="3"/>
      <c r="K77" s="3"/>
      <c r="L77" s="3"/>
      <c r="M77" s="3"/>
      <c r="N77" t="s">
        <v>790</v>
      </c>
    </row>
    <row r="78" spans="1:14" x14ac:dyDescent="0.25">
      <c r="A78" s="3" t="s">
        <v>854</v>
      </c>
      <c r="B78" s="3">
        <v>5</v>
      </c>
      <c r="C78" s="4">
        <v>3</v>
      </c>
      <c r="D78" s="3">
        <v>83</v>
      </c>
      <c r="E78" s="3"/>
      <c r="F78" s="3"/>
      <c r="G78" s="3"/>
      <c r="H78" s="3"/>
      <c r="I78" s="3"/>
      <c r="J78" s="3"/>
      <c r="K78" s="3"/>
      <c r="L78" s="3"/>
      <c r="M78" s="3"/>
      <c r="N78" t="s">
        <v>796</v>
      </c>
    </row>
    <row r="79" spans="1:14" x14ac:dyDescent="0.25">
      <c r="A79" s="3" t="s">
        <v>855</v>
      </c>
      <c r="B79" s="3">
        <v>5</v>
      </c>
      <c r="C79" s="4">
        <v>4</v>
      </c>
      <c r="D79" s="3">
        <v>84</v>
      </c>
      <c r="E79" s="3"/>
      <c r="F79" s="3"/>
      <c r="G79" s="3"/>
      <c r="H79" s="3"/>
      <c r="I79" s="3"/>
      <c r="J79" s="3"/>
      <c r="K79" s="3"/>
      <c r="L79" s="3"/>
      <c r="M79" s="3"/>
      <c r="N79" t="s">
        <v>800</v>
      </c>
    </row>
    <row r="80" spans="1:14" x14ac:dyDescent="0.25">
      <c r="A80" s="3" t="s">
        <v>856</v>
      </c>
      <c r="B80" s="3">
        <v>5</v>
      </c>
      <c r="C80" s="4">
        <v>5</v>
      </c>
      <c r="D80" s="3">
        <v>85</v>
      </c>
      <c r="E80" s="3"/>
      <c r="F80" s="3"/>
      <c r="G80" s="3"/>
      <c r="H80" s="3"/>
      <c r="I80" s="3"/>
      <c r="J80" s="3"/>
      <c r="K80" s="3"/>
      <c r="L80" s="3"/>
      <c r="M80" s="3"/>
      <c r="N80" t="s">
        <v>802</v>
      </c>
    </row>
    <row r="81" spans="1:14" x14ac:dyDescent="0.25">
      <c r="A81" s="3" t="s">
        <v>857</v>
      </c>
      <c r="B81" s="3">
        <v>5</v>
      </c>
      <c r="C81" s="4">
        <v>6</v>
      </c>
      <c r="D81" s="3">
        <v>86</v>
      </c>
      <c r="E81" s="3">
        <v>24</v>
      </c>
      <c r="F81" s="3">
        <v>7</v>
      </c>
      <c r="G81" s="3"/>
      <c r="H81" s="3"/>
      <c r="I81" s="3"/>
      <c r="J81" s="3"/>
      <c r="K81" s="3"/>
      <c r="L81" s="3"/>
      <c r="M81" s="3"/>
      <c r="N81" t="s">
        <v>808</v>
      </c>
    </row>
    <row r="82" spans="1:14" x14ac:dyDescent="0.25">
      <c r="A82" s="3" t="s">
        <v>858</v>
      </c>
      <c r="B82" s="3">
        <v>5</v>
      </c>
      <c r="C82" s="4">
        <v>7</v>
      </c>
      <c r="D82" s="3">
        <v>87</v>
      </c>
      <c r="E82" s="3">
        <v>25</v>
      </c>
      <c r="F82" s="3">
        <v>7</v>
      </c>
      <c r="G82" s="3"/>
      <c r="H82" s="3"/>
      <c r="I82" s="3"/>
      <c r="J82" s="3"/>
      <c r="K82" s="3"/>
      <c r="L82" s="3"/>
      <c r="M82" s="3"/>
      <c r="N82" t="s">
        <v>814</v>
      </c>
    </row>
    <row r="83" spans="1:14" x14ac:dyDescent="0.25">
      <c r="A83" s="3" t="s">
        <v>859</v>
      </c>
      <c r="B83" s="3">
        <v>5</v>
      </c>
      <c r="C83" s="4">
        <v>8</v>
      </c>
      <c r="D83" s="3">
        <v>88</v>
      </c>
      <c r="E83" s="3">
        <v>26</v>
      </c>
      <c r="F83" s="3">
        <v>7</v>
      </c>
      <c r="G83" s="3"/>
      <c r="H83" s="3"/>
      <c r="I83" s="3"/>
      <c r="J83" s="3"/>
      <c r="K83" s="3"/>
      <c r="L83" s="3"/>
      <c r="M83" s="3"/>
      <c r="N83" t="s">
        <v>841</v>
      </c>
    </row>
    <row r="84" spans="1:14" x14ac:dyDescent="0.25">
      <c r="A84" s="3" t="s">
        <v>860</v>
      </c>
      <c r="B84" s="3">
        <v>5</v>
      </c>
      <c r="C84" s="4">
        <v>9</v>
      </c>
      <c r="D84" s="3">
        <v>89</v>
      </c>
      <c r="E84" s="3"/>
      <c r="F84" s="3"/>
      <c r="G84" s="3"/>
      <c r="H84" s="3"/>
      <c r="I84" s="3"/>
      <c r="J84" s="3"/>
      <c r="K84" s="3"/>
      <c r="L84" s="3"/>
      <c r="M84" s="3"/>
      <c r="N84" t="s">
        <v>847</v>
      </c>
    </row>
    <row r="85" spans="1:14" x14ac:dyDescent="0.25">
      <c r="A85" s="3" t="s">
        <v>861</v>
      </c>
      <c r="B85" s="3">
        <v>5</v>
      </c>
      <c r="C85" s="4">
        <v>10</v>
      </c>
      <c r="D85" s="3">
        <v>90</v>
      </c>
      <c r="E85" s="3"/>
      <c r="F85" s="3"/>
      <c r="G85" s="3"/>
      <c r="H85" s="3"/>
      <c r="I85" s="3"/>
      <c r="J85" s="3"/>
      <c r="K85" s="3"/>
      <c r="L85" s="3"/>
      <c r="M85" s="3"/>
      <c r="N85" t="s">
        <v>758</v>
      </c>
    </row>
    <row r="86" spans="1:14" x14ac:dyDescent="0.25">
      <c r="A86" s="3" t="s">
        <v>862</v>
      </c>
      <c r="B86" s="3">
        <v>5</v>
      </c>
      <c r="C86" s="4">
        <v>11</v>
      </c>
      <c r="D86" s="3">
        <v>91</v>
      </c>
      <c r="E86" s="3"/>
      <c r="F86" s="3"/>
      <c r="G86" s="3"/>
      <c r="H86" s="3"/>
      <c r="I86" s="3"/>
      <c r="J86" s="3"/>
      <c r="K86" s="3"/>
      <c r="L86" s="3"/>
      <c r="M86" s="3"/>
      <c r="N86" t="s">
        <v>763</v>
      </c>
    </row>
    <row r="87" spans="1:14" x14ac:dyDescent="0.25">
      <c r="A87" s="3" t="s">
        <v>863</v>
      </c>
      <c r="B87" s="3">
        <v>5</v>
      </c>
      <c r="C87" s="4">
        <v>12</v>
      </c>
      <c r="D87" s="3">
        <v>92</v>
      </c>
      <c r="E87" s="3"/>
      <c r="F87" s="3"/>
      <c r="G87" s="3"/>
      <c r="H87" s="3"/>
      <c r="I87" s="3"/>
      <c r="J87" s="3"/>
      <c r="K87" s="3"/>
      <c r="L87" s="3"/>
      <c r="M87" s="3"/>
      <c r="N87" t="s">
        <v>771</v>
      </c>
    </row>
    <row r="88" spans="1:14" x14ac:dyDescent="0.25">
      <c r="A88" s="3" t="s">
        <v>864</v>
      </c>
      <c r="B88" s="3">
        <v>5</v>
      </c>
      <c r="C88" s="4">
        <v>13</v>
      </c>
      <c r="D88" s="3">
        <v>93</v>
      </c>
      <c r="E88" s="3"/>
      <c r="F88" s="3"/>
      <c r="G88" s="3"/>
      <c r="H88" s="3"/>
      <c r="I88" s="3"/>
      <c r="J88" s="3"/>
      <c r="K88" s="3"/>
      <c r="L88" s="3">
        <v>4</v>
      </c>
      <c r="M88" s="3"/>
      <c r="N88" t="s">
        <v>793</v>
      </c>
    </row>
    <row r="89" spans="1:14" x14ac:dyDescent="0.25">
      <c r="A89" s="3" t="s">
        <v>865</v>
      </c>
      <c r="B89" s="3">
        <v>5</v>
      </c>
      <c r="C89" s="4">
        <v>14</v>
      </c>
      <c r="D89" s="3">
        <v>94</v>
      </c>
      <c r="E89" s="3"/>
      <c r="F89" s="3"/>
      <c r="G89" s="3"/>
      <c r="H89" s="3"/>
      <c r="I89" s="3"/>
      <c r="J89" s="3"/>
      <c r="K89" s="3"/>
      <c r="L89" s="3">
        <v>3</v>
      </c>
      <c r="M89" s="3"/>
      <c r="N89" t="s">
        <v>799</v>
      </c>
    </row>
    <row r="90" spans="1:14" x14ac:dyDescent="0.25">
      <c r="A90" s="3" t="s">
        <v>866</v>
      </c>
      <c r="B90" s="3">
        <v>5</v>
      </c>
      <c r="C90" s="4">
        <v>15</v>
      </c>
      <c r="D90" s="3">
        <v>95</v>
      </c>
      <c r="E90" s="3"/>
      <c r="F90" s="3"/>
      <c r="G90" s="3"/>
      <c r="H90" s="3"/>
      <c r="I90" s="3"/>
      <c r="J90" s="3"/>
      <c r="K90" s="3"/>
      <c r="L90" s="3">
        <v>3</v>
      </c>
      <c r="M90" s="3"/>
      <c r="N90" t="s">
        <v>803</v>
      </c>
    </row>
    <row r="91" spans="1:14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  <c r="N91" t="s">
        <v>770</v>
      </c>
    </row>
    <row r="92" spans="1:14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  <c r="N92" t="s">
        <v>776</v>
      </c>
    </row>
    <row r="93" spans="1:14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  <c r="N93" t="s">
        <v>778</v>
      </c>
    </row>
    <row r="94" spans="1:14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  <c r="N94" t="s">
        <v>816</v>
      </c>
    </row>
    <row r="95" spans="1:14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  <c r="N95" t="s">
        <v>818</v>
      </c>
    </row>
    <row r="96" spans="1:14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  <c r="N96" t="s">
        <v>828</v>
      </c>
    </row>
    <row r="97" spans="1:14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  <c r="N97" t="s">
        <v>501</v>
      </c>
    </row>
    <row r="98" spans="1:14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  <c r="N98" t="s">
        <v>777</v>
      </c>
    </row>
    <row r="99" spans="1:14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  <c r="N99" t="s">
        <v>779</v>
      </c>
    </row>
    <row r="100" spans="1:1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t="s">
        <v>825</v>
      </c>
    </row>
    <row r="101" spans="1:14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t="s">
        <v>827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Check Box 3">
              <controlPr defaultSize="0" autoFill="0" autoLine="0" autoPict="0">
                <anchor>
                  <from>
                    <xdr:col>15</xdr:col>
                    <xdr:colOff>19050</xdr:colOff>
                    <xdr:row>4</xdr:row>
                    <xdr:rowOff>180975</xdr:rowOff>
                  </from>
                  <to>
                    <xdr:col>18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Check Box 4">
              <controlPr defaultSize="0" autoFill="0" autoLine="0" autoPict="0">
                <anchor>
                  <from>
                    <xdr:col>15</xdr:col>
                    <xdr:colOff>19050</xdr:colOff>
                    <xdr:row>5</xdr:row>
                    <xdr:rowOff>171450</xdr:rowOff>
                  </from>
                  <to>
                    <xdr:col>17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282EE-70E6-4C21-8C8D-E542885B31D9}">
  <sheetPr codeName="Sheet17">
    <tabColor rgb="FF66FFFF"/>
  </sheetPr>
  <dimension ref="A1:V106"/>
  <sheetViews>
    <sheetView workbookViewId="0">
      <pane ySplit="1" topLeftCell="A44" activePane="bottomLeft" state="frozen"/>
      <selection pane="bottomLeft" activeCell="N62" sqref="N62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413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>
        <v>0</v>
      </c>
      <c r="F2" s="3">
        <v>0</v>
      </c>
      <c r="G2" s="3">
        <v>0</v>
      </c>
      <c r="H2" s="3">
        <v>1</v>
      </c>
      <c r="I2" s="3"/>
      <c r="J2" s="3">
        <v>1</v>
      </c>
      <c r="K2" s="3"/>
      <c r="L2" s="3"/>
      <c r="M2" s="3"/>
      <c r="N2" t="s">
        <v>693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3">
        <v>1</v>
      </c>
      <c r="D3" s="3"/>
      <c r="E3" s="3">
        <v>1</v>
      </c>
      <c r="F3" s="3">
        <v>1</v>
      </c>
      <c r="G3" s="3"/>
      <c r="H3" s="3"/>
      <c r="I3" s="3"/>
      <c r="J3" s="3">
        <v>1</v>
      </c>
      <c r="K3" s="3"/>
      <c r="L3" s="3"/>
      <c r="M3" s="3"/>
      <c r="N3" t="s">
        <v>697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3">
        <v>2</v>
      </c>
      <c r="D4" s="3"/>
      <c r="E4" s="3">
        <v>9</v>
      </c>
      <c r="F4" s="3">
        <v>7</v>
      </c>
      <c r="G4" s="3"/>
      <c r="H4" s="3"/>
      <c r="I4" s="3"/>
      <c r="J4" s="3">
        <v>1</v>
      </c>
      <c r="K4" s="3"/>
      <c r="L4" s="3"/>
      <c r="M4" s="3"/>
      <c r="N4" t="s">
        <v>701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3</v>
      </c>
      <c r="F5" s="3">
        <v>3</v>
      </c>
      <c r="G5" s="3">
        <v>2</v>
      </c>
      <c r="H5" s="3">
        <v>1</v>
      </c>
      <c r="I5" s="3"/>
      <c r="J5" s="3"/>
      <c r="K5" s="3"/>
      <c r="L5" s="3"/>
      <c r="M5" s="3"/>
      <c r="N5" t="s">
        <v>703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>
        <v>1</v>
      </c>
      <c r="H6" s="3">
        <v>3</v>
      </c>
      <c r="I6" s="3"/>
      <c r="J6" s="3">
        <v>3</v>
      </c>
      <c r="K6" s="3"/>
      <c r="L6" s="3"/>
      <c r="M6" s="3"/>
      <c r="N6" t="s">
        <v>612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628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630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1</v>
      </c>
      <c r="F9" s="3">
        <v>1</v>
      </c>
      <c r="G9" s="3">
        <v>3</v>
      </c>
      <c r="H9" s="3">
        <v>2</v>
      </c>
      <c r="I9" s="3">
        <v>3</v>
      </c>
      <c r="J9" s="3">
        <v>2</v>
      </c>
      <c r="K9" s="3"/>
      <c r="L9" s="3"/>
      <c r="M9" s="3"/>
      <c r="N9" t="s">
        <v>642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>
        <v>0</v>
      </c>
      <c r="H10" s="3">
        <v>4</v>
      </c>
      <c r="I10" s="3"/>
      <c r="J10" s="3">
        <v>2</v>
      </c>
      <c r="K10" s="3"/>
      <c r="L10" s="3"/>
      <c r="M10" s="3"/>
      <c r="N10" t="s">
        <v>646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>
        <v>2</v>
      </c>
      <c r="K11" s="3"/>
      <c r="L11" s="3"/>
      <c r="M11" s="3"/>
      <c r="N11" t="s">
        <v>650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670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672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2</v>
      </c>
      <c r="F14" s="3">
        <v>2</v>
      </c>
      <c r="G14" s="3">
        <v>0</v>
      </c>
      <c r="H14" s="3">
        <v>3</v>
      </c>
      <c r="I14" s="3">
        <v>3</v>
      </c>
      <c r="J14" s="3"/>
      <c r="K14" s="3"/>
      <c r="L14" s="3"/>
      <c r="M14" s="3"/>
      <c r="N14" t="s">
        <v>676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>
        <v>0</v>
      </c>
      <c r="H15" s="3">
        <v>6</v>
      </c>
      <c r="I15" s="3">
        <v>1</v>
      </c>
      <c r="J15" s="3"/>
      <c r="K15" s="3"/>
      <c r="L15" s="3"/>
      <c r="M15" s="3"/>
      <c r="N15" t="s">
        <v>680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>
        <v>0</v>
      </c>
      <c r="H16" s="3">
        <v>5</v>
      </c>
      <c r="I16" s="3">
        <v>1</v>
      </c>
      <c r="J16" s="3"/>
      <c r="K16" s="3"/>
      <c r="L16" s="3"/>
      <c r="M16" s="3"/>
      <c r="N16" t="s">
        <v>682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651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653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657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661</v>
      </c>
    </row>
    <row r="21" spans="1:14" x14ac:dyDescent="0.25">
      <c r="A21" s="3" t="s">
        <v>54</v>
      </c>
      <c r="B21" s="3">
        <v>1</v>
      </c>
      <c r="C21" s="3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663</v>
      </c>
    </row>
    <row r="22" spans="1:14" x14ac:dyDescent="0.25">
      <c r="A22" s="3" t="s">
        <v>56</v>
      </c>
      <c r="B22" s="3">
        <v>1</v>
      </c>
      <c r="C22" s="3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667</v>
      </c>
    </row>
    <row r="23" spans="1:14" x14ac:dyDescent="0.25">
      <c r="A23" s="3" t="s">
        <v>58</v>
      </c>
      <c r="B23" s="3">
        <v>2</v>
      </c>
      <c r="C23" s="3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691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>
        <v>1</v>
      </c>
      <c r="H24" s="3">
        <v>1</v>
      </c>
      <c r="I24" s="3"/>
      <c r="J24" s="3">
        <v>3</v>
      </c>
      <c r="K24" s="3"/>
      <c r="L24" s="3"/>
      <c r="M24" s="3"/>
      <c r="N24" t="s">
        <v>617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>
        <v>1</v>
      </c>
      <c r="H25" s="3">
        <v>2</v>
      </c>
      <c r="I25" s="3"/>
      <c r="J25" s="3">
        <v>3</v>
      </c>
      <c r="K25" s="3"/>
      <c r="L25" s="3"/>
      <c r="M25" s="3"/>
      <c r="N25" t="s">
        <v>619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15</v>
      </c>
      <c r="F26" s="3">
        <v>7</v>
      </c>
      <c r="G26" s="3">
        <v>0</v>
      </c>
      <c r="H26" s="3">
        <v>2</v>
      </c>
      <c r="I26" s="3"/>
      <c r="J26" s="3"/>
      <c r="K26" s="3"/>
      <c r="L26" s="3"/>
      <c r="M26" s="3"/>
      <c r="N26" t="s">
        <v>626</v>
      </c>
    </row>
    <row r="27" spans="1:14" x14ac:dyDescent="0.25">
      <c r="A27" s="3" t="s">
        <v>70</v>
      </c>
      <c r="B27" s="3">
        <v>2</v>
      </c>
      <c r="C27" s="4">
        <v>6</v>
      </c>
      <c r="D27" s="3">
        <v>54</v>
      </c>
      <c r="E27" s="3">
        <v>17</v>
      </c>
      <c r="F27" s="3">
        <v>7</v>
      </c>
      <c r="G27" s="3">
        <v>1</v>
      </c>
      <c r="H27" s="3">
        <v>4</v>
      </c>
      <c r="I27" s="3"/>
      <c r="J27" s="3"/>
      <c r="K27" s="3"/>
      <c r="L27" s="3"/>
      <c r="M27" s="3"/>
      <c r="N27" t="s">
        <v>621</v>
      </c>
    </row>
    <row r="28" spans="1:14" x14ac:dyDescent="0.25">
      <c r="A28" s="3" t="s">
        <v>72</v>
      </c>
      <c r="B28" s="3">
        <v>2</v>
      </c>
      <c r="C28" s="4">
        <v>7</v>
      </c>
      <c r="D28" s="3">
        <v>55</v>
      </c>
      <c r="E28" s="3">
        <v>16</v>
      </c>
      <c r="F28" s="3">
        <v>7</v>
      </c>
      <c r="G28" s="3">
        <v>2</v>
      </c>
      <c r="H28" s="3">
        <v>4</v>
      </c>
      <c r="I28" s="3"/>
      <c r="J28" s="3"/>
      <c r="K28" s="3"/>
      <c r="L28" s="3"/>
      <c r="M28" s="3"/>
      <c r="N28" t="s">
        <v>640</v>
      </c>
    </row>
    <row r="29" spans="1:14" x14ac:dyDescent="0.25">
      <c r="A29" s="3" t="s">
        <v>74</v>
      </c>
      <c r="B29" s="3">
        <v>2</v>
      </c>
      <c r="C29" s="4">
        <v>8</v>
      </c>
      <c r="D29" s="3">
        <v>56</v>
      </c>
      <c r="E29" s="3"/>
      <c r="F29" s="3"/>
      <c r="G29" s="3"/>
      <c r="H29" s="3"/>
      <c r="I29" s="3">
        <v>1</v>
      </c>
      <c r="J29" s="3"/>
      <c r="K29" s="3"/>
      <c r="L29" s="3"/>
      <c r="M29" s="3">
        <v>2</v>
      </c>
      <c r="N29" t="s">
        <v>652</v>
      </c>
    </row>
    <row r="30" spans="1:14" x14ac:dyDescent="0.25">
      <c r="A30" s="3" t="s">
        <v>76</v>
      </c>
      <c r="B30" s="3">
        <v>2</v>
      </c>
      <c r="C30" s="4">
        <v>9</v>
      </c>
      <c r="D30" s="3">
        <v>57</v>
      </c>
      <c r="E30" s="3"/>
      <c r="F30" s="3"/>
      <c r="G30" s="3"/>
      <c r="H30" s="3"/>
      <c r="I30" s="3">
        <v>1</v>
      </c>
      <c r="J30" s="3"/>
      <c r="K30" s="3"/>
      <c r="L30" s="3"/>
      <c r="M30" s="3">
        <v>2</v>
      </c>
      <c r="N30" t="s">
        <v>654</v>
      </c>
    </row>
    <row r="31" spans="1:14" x14ac:dyDescent="0.25">
      <c r="A31" s="3" t="s">
        <v>82</v>
      </c>
      <c r="B31" s="3">
        <v>2</v>
      </c>
      <c r="C31" s="3">
        <v>12</v>
      </c>
      <c r="D31" s="3">
        <v>60</v>
      </c>
      <c r="E31" s="3"/>
      <c r="F31" s="3"/>
      <c r="G31" s="3"/>
      <c r="H31" s="3"/>
      <c r="I31" s="3"/>
      <c r="J31" s="3"/>
      <c r="K31" s="3"/>
      <c r="L31" s="3">
        <v>8</v>
      </c>
      <c r="M31" s="3"/>
      <c r="N31" t="s">
        <v>671</v>
      </c>
    </row>
    <row r="32" spans="1:14" x14ac:dyDescent="0.25">
      <c r="A32" s="3" t="s">
        <v>84</v>
      </c>
      <c r="B32" s="3">
        <v>2</v>
      </c>
      <c r="C32" s="3">
        <v>13</v>
      </c>
      <c r="D32" s="3">
        <v>61</v>
      </c>
      <c r="E32" s="3"/>
      <c r="F32" s="3"/>
      <c r="G32" s="3"/>
      <c r="H32" s="3"/>
      <c r="I32" s="3"/>
      <c r="J32" s="3"/>
      <c r="K32" s="3"/>
      <c r="L32" s="3">
        <v>8</v>
      </c>
      <c r="M32" s="3"/>
      <c r="N32" t="s">
        <v>673</v>
      </c>
    </row>
    <row r="33" spans="1:14" x14ac:dyDescent="0.25">
      <c r="A33" s="3" t="s">
        <v>86</v>
      </c>
      <c r="B33" s="3">
        <v>2</v>
      </c>
      <c r="C33" s="3">
        <v>14</v>
      </c>
      <c r="D33" s="3">
        <v>62</v>
      </c>
      <c r="E33" s="3"/>
      <c r="F33" s="3"/>
      <c r="G33" s="3"/>
      <c r="H33" s="3"/>
      <c r="I33" s="3"/>
      <c r="J33" s="3"/>
      <c r="K33" s="3"/>
      <c r="L33" s="3">
        <v>6</v>
      </c>
      <c r="M33" s="3"/>
      <c r="N33" t="s">
        <v>675</v>
      </c>
    </row>
    <row r="34" spans="1:14" x14ac:dyDescent="0.25">
      <c r="A34" s="3" t="s">
        <v>88</v>
      </c>
      <c r="B34" s="3">
        <v>2</v>
      </c>
      <c r="C34" s="3">
        <v>15</v>
      </c>
      <c r="D34" s="3">
        <v>63</v>
      </c>
      <c r="E34" s="3"/>
      <c r="F34" s="3"/>
      <c r="G34" s="3"/>
      <c r="H34" s="3"/>
      <c r="I34" s="3"/>
      <c r="J34" s="3"/>
      <c r="K34" s="3"/>
      <c r="L34" s="3">
        <v>6</v>
      </c>
      <c r="M34" s="3"/>
      <c r="N34" t="s">
        <v>677</v>
      </c>
    </row>
    <row r="35" spans="1:14" x14ac:dyDescent="0.25">
      <c r="A35" s="3" t="s">
        <v>90</v>
      </c>
      <c r="B35" s="3">
        <v>3</v>
      </c>
      <c r="C35" s="4">
        <v>0</v>
      </c>
      <c r="D35" s="3">
        <v>64</v>
      </c>
      <c r="E35" s="3"/>
      <c r="F35" s="3"/>
      <c r="G35" s="3"/>
      <c r="H35" s="3"/>
      <c r="I35" s="3"/>
      <c r="J35" s="3"/>
      <c r="K35" s="3"/>
      <c r="L35" s="3">
        <v>4</v>
      </c>
      <c r="M35" s="3"/>
      <c r="N35" t="s">
        <v>649</v>
      </c>
    </row>
    <row r="36" spans="1:14" x14ac:dyDescent="0.25">
      <c r="A36" s="3" t="s">
        <v>92</v>
      </c>
      <c r="B36" s="3">
        <v>3</v>
      </c>
      <c r="C36" s="4">
        <v>1</v>
      </c>
      <c r="D36" s="3">
        <v>65</v>
      </c>
      <c r="E36" s="3"/>
      <c r="F36" s="3"/>
      <c r="G36" s="3"/>
      <c r="H36" s="3"/>
      <c r="I36" s="3"/>
      <c r="J36" s="3"/>
      <c r="K36" s="3"/>
      <c r="L36" s="3">
        <v>4</v>
      </c>
      <c r="M36" s="3"/>
      <c r="N36" t="s">
        <v>647</v>
      </c>
    </row>
    <row r="37" spans="1:14" x14ac:dyDescent="0.25">
      <c r="A37" s="3" t="s">
        <v>94</v>
      </c>
      <c r="B37" s="3">
        <v>3</v>
      </c>
      <c r="C37" s="4">
        <v>2</v>
      </c>
      <c r="D37" s="3">
        <v>66</v>
      </c>
      <c r="E37" s="3"/>
      <c r="F37" s="3"/>
      <c r="G37" s="3"/>
      <c r="H37" s="3"/>
      <c r="I37" s="3"/>
      <c r="J37" s="3"/>
      <c r="K37" s="3"/>
      <c r="L37" s="3"/>
      <c r="M37" s="3"/>
      <c r="N37" t="s">
        <v>645</v>
      </c>
    </row>
    <row r="38" spans="1:14" x14ac:dyDescent="0.25">
      <c r="A38" s="3" t="s">
        <v>100</v>
      </c>
      <c r="B38" s="3">
        <v>3</v>
      </c>
      <c r="C38" s="4">
        <v>5</v>
      </c>
      <c r="D38" s="3">
        <v>69</v>
      </c>
      <c r="E38" s="3"/>
      <c r="F38" s="3"/>
      <c r="G38" s="3"/>
      <c r="H38" s="3"/>
      <c r="I38" s="3"/>
      <c r="J38" s="3"/>
      <c r="K38" s="3"/>
      <c r="L38" s="3"/>
      <c r="M38" s="3"/>
      <c r="N38" t="s">
        <v>668</v>
      </c>
    </row>
    <row r="39" spans="1:14" x14ac:dyDescent="0.25">
      <c r="A39" s="3" t="s">
        <v>102</v>
      </c>
      <c r="B39" s="3">
        <v>3</v>
      </c>
      <c r="C39" s="4">
        <v>6</v>
      </c>
      <c r="D39" s="3">
        <v>70</v>
      </c>
      <c r="E39" s="3"/>
      <c r="F39" s="3"/>
      <c r="G39" s="3"/>
      <c r="H39" s="3"/>
      <c r="I39" s="3"/>
      <c r="J39" s="3"/>
      <c r="K39" s="3"/>
      <c r="L39" s="3"/>
      <c r="M39" s="3"/>
      <c r="N39" t="s">
        <v>666</v>
      </c>
    </row>
    <row r="40" spans="1:14" x14ac:dyDescent="0.25">
      <c r="A40" s="3" t="s">
        <v>104</v>
      </c>
      <c r="B40" s="3">
        <v>3</v>
      </c>
      <c r="C40" s="4">
        <v>7</v>
      </c>
      <c r="D40" s="3">
        <v>71</v>
      </c>
      <c r="E40" s="3"/>
      <c r="F40" s="3"/>
      <c r="G40" s="3"/>
      <c r="H40" s="3"/>
      <c r="I40" s="3"/>
      <c r="J40" s="3"/>
      <c r="K40" s="3"/>
      <c r="L40" s="3"/>
      <c r="M40" s="3"/>
      <c r="N40" t="s">
        <v>664</v>
      </c>
    </row>
    <row r="41" spans="1:14" x14ac:dyDescent="0.25">
      <c r="A41" s="3" t="s">
        <v>106</v>
      </c>
      <c r="B41" s="3">
        <v>3</v>
      </c>
      <c r="C41" s="4">
        <v>8</v>
      </c>
      <c r="D41" s="3">
        <v>72</v>
      </c>
      <c r="E41" s="3"/>
      <c r="F41" s="3"/>
      <c r="G41" s="3"/>
      <c r="H41" s="3"/>
      <c r="I41" s="3"/>
      <c r="J41" s="3"/>
      <c r="K41" s="3"/>
      <c r="L41" s="3"/>
      <c r="M41" s="3">
        <v>2</v>
      </c>
      <c r="N41" t="s">
        <v>658</v>
      </c>
    </row>
    <row r="42" spans="1:14" x14ac:dyDescent="0.25">
      <c r="A42" s="3" t="s">
        <v>108</v>
      </c>
      <c r="B42" s="3">
        <v>3</v>
      </c>
      <c r="C42" s="4">
        <v>9</v>
      </c>
      <c r="D42" s="3">
        <v>73</v>
      </c>
      <c r="E42" s="3"/>
      <c r="F42" s="3"/>
      <c r="G42" s="3"/>
      <c r="H42" s="3"/>
      <c r="I42" s="3"/>
      <c r="J42" s="3"/>
      <c r="K42" s="3"/>
      <c r="L42" s="3"/>
      <c r="M42" s="3"/>
      <c r="N42" t="s">
        <v>656</v>
      </c>
    </row>
    <row r="43" spans="1:14" x14ac:dyDescent="0.25">
      <c r="A43" s="3" t="s">
        <v>110</v>
      </c>
      <c r="B43" s="3">
        <v>3</v>
      </c>
      <c r="C43" s="4">
        <v>10</v>
      </c>
      <c r="D43" s="3">
        <v>74</v>
      </c>
      <c r="E43" s="3">
        <v>18</v>
      </c>
      <c r="F43" s="3">
        <v>7</v>
      </c>
      <c r="G43" s="3">
        <v>2</v>
      </c>
      <c r="H43" s="3">
        <v>3</v>
      </c>
      <c r="I43" s="3"/>
      <c r="J43" s="3"/>
      <c r="K43" s="3"/>
      <c r="L43" s="3"/>
      <c r="M43" s="3"/>
      <c r="N43" t="s">
        <v>636</v>
      </c>
    </row>
    <row r="44" spans="1:14" x14ac:dyDescent="0.25">
      <c r="A44" s="3" t="s">
        <v>112</v>
      </c>
      <c r="B44" s="3">
        <v>3</v>
      </c>
      <c r="C44" s="4">
        <v>11</v>
      </c>
      <c r="D44" s="3">
        <v>75</v>
      </c>
      <c r="E44" s="3">
        <v>19</v>
      </c>
      <c r="F44" s="3">
        <v>7</v>
      </c>
      <c r="G44" s="3">
        <v>2</v>
      </c>
      <c r="H44" s="3">
        <v>2</v>
      </c>
      <c r="I44" s="3"/>
      <c r="J44" s="3"/>
      <c r="K44" s="3"/>
      <c r="L44" s="3"/>
      <c r="M44" s="3"/>
      <c r="N44" t="s">
        <v>632</v>
      </c>
    </row>
    <row r="45" spans="1:14" x14ac:dyDescent="0.25">
      <c r="A45" s="3" t="s">
        <v>114</v>
      </c>
      <c r="B45" s="3">
        <v>3</v>
      </c>
      <c r="C45" s="4">
        <v>12</v>
      </c>
      <c r="D45" s="3">
        <v>76</v>
      </c>
      <c r="E45" s="3"/>
      <c r="F45" s="3"/>
      <c r="G45" s="3"/>
      <c r="H45" s="3"/>
      <c r="I45" s="3"/>
      <c r="J45" s="3"/>
      <c r="K45" s="3"/>
      <c r="L45" s="3"/>
      <c r="M45" s="3"/>
      <c r="N45" t="s">
        <v>616</v>
      </c>
    </row>
    <row r="46" spans="1:14" x14ac:dyDescent="0.25">
      <c r="A46" s="3" t="s">
        <v>116</v>
      </c>
      <c r="B46" s="3">
        <v>3</v>
      </c>
      <c r="C46" s="3">
        <v>13</v>
      </c>
      <c r="D46" s="3">
        <v>77</v>
      </c>
      <c r="E46" s="3"/>
      <c r="F46" s="3"/>
      <c r="G46" s="3">
        <v>1</v>
      </c>
      <c r="H46" s="3">
        <v>5</v>
      </c>
      <c r="I46" s="3"/>
      <c r="J46" s="3"/>
      <c r="K46" s="3"/>
      <c r="L46" s="3"/>
      <c r="M46" s="3"/>
      <c r="N46" t="s">
        <v>689</v>
      </c>
    </row>
    <row r="47" spans="1:14" x14ac:dyDescent="0.25">
      <c r="A47" s="3" t="s">
        <v>118</v>
      </c>
      <c r="B47" s="3">
        <v>3</v>
      </c>
      <c r="C47" s="3">
        <v>14</v>
      </c>
      <c r="D47" s="3">
        <v>78</v>
      </c>
      <c r="E47" s="3"/>
      <c r="F47" s="3"/>
      <c r="G47" s="3"/>
      <c r="H47" s="3"/>
      <c r="I47" s="3"/>
      <c r="J47" s="3"/>
      <c r="K47" s="3"/>
      <c r="L47" s="3"/>
      <c r="M47" s="3"/>
      <c r="N47" t="s">
        <v>687</v>
      </c>
    </row>
    <row r="48" spans="1:14" x14ac:dyDescent="0.25">
      <c r="A48" s="3" t="s">
        <v>120</v>
      </c>
      <c r="B48" s="3">
        <v>3</v>
      </c>
      <c r="C48" s="3">
        <v>15</v>
      </c>
      <c r="D48" s="3">
        <v>79</v>
      </c>
      <c r="E48" s="3"/>
      <c r="F48" s="3"/>
      <c r="G48" s="3"/>
      <c r="H48" s="3"/>
      <c r="I48" s="3"/>
      <c r="J48" s="3"/>
      <c r="K48" s="3"/>
      <c r="L48" s="3"/>
      <c r="M48" s="3"/>
      <c r="N48" t="s">
        <v>681</v>
      </c>
    </row>
    <row r="49" spans="1:14" x14ac:dyDescent="0.25">
      <c r="A49" s="3" t="s">
        <v>122</v>
      </c>
      <c r="B49" s="3">
        <v>4</v>
      </c>
      <c r="C49" s="3">
        <v>0</v>
      </c>
      <c r="D49" s="3"/>
      <c r="E49" s="3">
        <v>20</v>
      </c>
      <c r="F49" s="3">
        <v>7</v>
      </c>
      <c r="G49" s="3">
        <v>2</v>
      </c>
      <c r="H49" s="3">
        <v>5</v>
      </c>
      <c r="I49" s="3"/>
      <c r="J49" s="3"/>
      <c r="K49" s="3"/>
      <c r="L49" s="3"/>
      <c r="M49" s="3"/>
      <c r="N49" t="s">
        <v>665</v>
      </c>
    </row>
    <row r="50" spans="1:14" x14ac:dyDescent="0.25">
      <c r="A50" s="3" t="s">
        <v>124</v>
      </c>
      <c r="B50" s="3">
        <v>4</v>
      </c>
      <c r="C50" s="3">
        <v>1</v>
      </c>
      <c r="D50" s="3"/>
      <c r="E50" s="3">
        <v>21</v>
      </c>
      <c r="F50" s="3">
        <v>7</v>
      </c>
      <c r="G50" s="3">
        <v>1</v>
      </c>
      <c r="H50" s="3">
        <v>6</v>
      </c>
      <c r="I50" s="3"/>
      <c r="J50" s="3"/>
      <c r="K50" s="3"/>
      <c r="L50" s="3"/>
      <c r="M50" s="3"/>
      <c r="N50" t="s">
        <v>669</v>
      </c>
    </row>
    <row r="51" spans="1:14" x14ac:dyDescent="0.25">
      <c r="A51" s="3" t="s">
        <v>126</v>
      </c>
      <c r="B51" s="3">
        <v>4</v>
      </c>
      <c r="C51" s="3">
        <v>2</v>
      </c>
      <c r="D51" s="3"/>
      <c r="E51" s="3">
        <v>22</v>
      </c>
      <c r="F51" s="3">
        <v>7</v>
      </c>
      <c r="G51" s="3">
        <v>2</v>
      </c>
      <c r="H51" s="3">
        <v>6</v>
      </c>
      <c r="I51" s="3"/>
      <c r="J51" s="3"/>
      <c r="K51" s="3"/>
      <c r="L51" s="3"/>
      <c r="M51" s="3"/>
      <c r="N51" t="s">
        <v>695</v>
      </c>
    </row>
    <row r="52" spans="1:14" x14ac:dyDescent="0.25">
      <c r="A52" s="3" t="s">
        <v>128</v>
      </c>
      <c r="B52" s="3">
        <v>4</v>
      </c>
      <c r="C52" s="3">
        <v>3</v>
      </c>
      <c r="D52" s="3"/>
      <c r="E52" s="3">
        <v>23</v>
      </c>
      <c r="F52" s="3">
        <v>7</v>
      </c>
      <c r="G52" s="3"/>
      <c r="H52" s="3"/>
      <c r="I52" s="3"/>
      <c r="J52" s="3"/>
      <c r="K52" s="3"/>
      <c r="L52" s="3"/>
      <c r="M52" s="3"/>
      <c r="N52" t="s">
        <v>699</v>
      </c>
    </row>
    <row r="53" spans="1:14" x14ac:dyDescent="0.25">
      <c r="A53" s="3" t="s">
        <v>130</v>
      </c>
      <c r="B53" s="3">
        <v>4</v>
      </c>
      <c r="C53" s="4">
        <v>4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t="s">
        <v>611</v>
      </c>
    </row>
    <row r="54" spans="1:14" x14ac:dyDescent="0.25">
      <c r="A54" s="3" t="s">
        <v>132</v>
      </c>
      <c r="B54" s="3">
        <v>4</v>
      </c>
      <c r="C54" s="4">
        <v>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613</v>
      </c>
    </row>
    <row r="55" spans="1:14" x14ac:dyDescent="0.25">
      <c r="A55" s="3" t="s">
        <v>134</v>
      </c>
      <c r="B55" s="3">
        <v>4</v>
      </c>
      <c r="C55" s="4">
        <v>6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634</v>
      </c>
    </row>
    <row r="56" spans="1:14" x14ac:dyDescent="0.25">
      <c r="A56" s="3" t="s">
        <v>136</v>
      </c>
      <c r="B56" s="3">
        <v>4</v>
      </c>
      <c r="C56" s="4">
        <v>7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638</v>
      </c>
    </row>
    <row r="57" spans="1:14" x14ac:dyDescent="0.25">
      <c r="A57" s="3" t="s">
        <v>138</v>
      </c>
      <c r="B57" s="3">
        <v>4</v>
      </c>
      <c r="C57" s="4">
        <v>8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644</v>
      </c>
    </row>
    <row r="58" spans="1:14" x14ac:dyDescent="0.25">
      <c r="A58" s="3" t="s">
        <v>140</v>
      </c>
      <c r="B58" s="3">
        <v>4</v>
      </c>
      <c r="C58" s="4">
        <v>9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648</v>
      </c>
    </row>
    <row r="59" spans="1:14" x14ac:dyDescent="0.25">
      <c r="A59" s="3" t="s">
        <v>142</v>
      </c>
      <c r="B59" s="3">
        <v>4</v>
      </c>
      <c r="C59" s="4">
        <v>10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674</v>
      </c>
    </row>
    <row r="60" spans="1:14" x14ac:dyDescent="0.25">
      <c r="A60" s="3" t="s">
        <v>144</v>
      </c>
      <c r="B60" s="3">
        <v>4</v>
      </c>
      <c r="C60" s="4">
        <v>11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678</v>
      </c>
    </row>
    <row r="61" spans="1:14" x14ac:dyDescent="0.25">
      <c r="A61" s="3" t="s">
        <v>146</v>
      </c>
      <c r="B61" s="3">
        <v>4</v>
      </c>
      <c r="C61" s="4">
        <v>12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1278</v>
      </c>
    </row>
    <row r="62" spans="1:14" x14ac:dyDescent="0.25">
      <c r="A62" s="3" t="s">
        <v>150</v>
      </c>
      <c r="B62" s="3">
        <v>4</v>
      </c>
      <c r="C62" s="4">
        <v>14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655</v>
      </c>
    </row>
    <row r="63" spans="1:14" x14ac:dyDescent="0.25">
      <c r="A63" s="3" t="s">
        <v>152</v>
      </c>
      <c r="B63" s="3">
        <v>4</v>
      </c>
      <c r="C63" s="4">
        <v>15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659</v>
      </c>
    </row>
    <row r="64" spans="1:14" x14ac:dyDescent="0.25">
      <c r="A64" s="3" t="s">
        <v>1272</v>
      </c>
      <c r="B64" s="3">
        <v>2</v>
      </c>
      <c r="C64" s="4">
        <v>4</v>
      </c>
      <c r="D64" s="3">
        <v>52</v>
      </c>
      <c r="E64" s="3"/>
      <c r="F64" s="3"/>
      <c r="G64" s="3"/>
      <c r="H64" s="3"/>
      <c r="I64" s="3">
        <v>2</v>
      </c>
      <c r="J64" s="3"/>
      <c r="K64" s="3"/>
      <c r="L64" s="3">
        <v>5</v>
      </c>
      <c r="M64" s="3"/>
      <c r="N64" t="s">
        <v>1273</v>
      </c>
    </row>
    <row r="65" spans="1:14" x14ac:dyDescent="0.25">
      <c r="A65" s="3" t="s">
        <v>1274</v>
      </c>
      <c r="B65" s="3">
        <v>2</v>
      </c>
      <c r="C65" s="4">
        <v>5</v>
      </c>
      <c r="D65" s="3">
        <v>53</v>
      </c>
      <c r="E65" s="3"/>
      <c r="F65" s="3"/>
      <c r="G65" s="3"/>
      <c r="H65" s="3"/>
      <c r="I65" s="3">
        <v>2</v>
      </c>
      <c r="J65" s="3"/>
      <c r="K65" s="3"/>
      <c r="L65" s="3">
        <v>5</v>
      </c>
      <c r="M65" s="3"/>
      <c r="N65" t="s">
        <v>1276</v>
      </c>
    </row>
    <row r="66" spans="1:14" x14ac:dyDescent="0.25">
      <c r="A66" s="3" t="s">
        <v>1275</v>
      </c>
      <c r="B66" s="3">
        <v>2</v>
      </c>
      <c r="C66" s="4">
        <v>10</v>
      </c>
      <c r="D66" s="3">
        <v>58</v>
      </c>
      <c r="E66" s="3"/>
      <c r="F66" s="3"/>
      <c r="G66" s="3"/>
      <c r="H66" s="3"/>
      <c r="I66" s="3"/>
      <c r="J66" s="3"/>
      <c r="K66" s="3"/>
      <c r="L66" s="3">
        <v>7</v>
      </c>
      <c r="M66" s="3"/>
      <c r="N66" t="s">
        <v>1277</v>
      </c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614</v>
      </c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615</v>
      </c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623</v>
      </c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572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660</v>
      </c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662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684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686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688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690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692</v>
      </c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694</v>
      </c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696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698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700</v>
      </c>
    </row>
    <row r="82" spans="1:14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  <c r="N82" t="s">
        <v>702</v>
      </c>
    </row>
    <row r="83" spans="1:14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  <c r="N83" t="s">
        <v>706</v>
      </c>
    </row>
    <row r="84" spans="1:14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  <c r="N84" t="s">
        <v>704</v>
      </c>
    </row>
    <row r="85" spans="1:14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  <c r="N85" t="s">
        <v>705</v>
      </c>
    </row>
    <row r="86" spans="1:14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  <c r="N86" t="s">
        <v>706</v>
      </c>
    </row>
    <row r="87" spans="1:14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  <c r="N87" t="s">
        <v>707</v>
      </c>
    </row>
    <row r="88" spans="1:14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  <c r="N88" t="s">
        <v>708</v>
      </c>
    </row>
    <row r="89" spans="1:14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  <c r="N89" t="s">
        <v>709</v>
      </c>
    </row>
    <row r="90" spans="1:14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  <c r="N90" t="s">
        <v>618</v>
      </c>
    </row>
    <row r="91" spans="1:14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  <c r="N91" t="s">
        <v>620</v>
      </c>
    </row>
    <row r="92" spans="1:14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  <c r="N92" t="s">
        <v>622</v>
      </c>
    </row>
    <row r="93" spans="1:14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  <c r="N93" t="s">
        <v>624</v>
      </c>
    </row>
    <row r="94" spans="1:14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  <c r="N94" t="s">
        <v>625</v>
      </c>
    </row>
    <row r="95" spans="1:14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  <c r="N95" t="s">
        <v>627</v>
      </c>
    </row>
    <row r="96" spans="1:14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  <c r="N96" t="s">
        <v>629</v>
      </c>
    </row>
    <row r="97" spans="1:14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  <c r="N97" t="s">
        <v>631</v>
      </c>
    </row>
    <row r="98" spans="1:14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  <c r="N98" t="s">
        <v>633</v>
      </c>
    </row>
    <row r="99" spans="1:14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  <c r="N99" t="s">
        <v>635</v>
      </c>
    </row>
    <row r="100" spans="1:14" x14ac:dyDescent="0.25">
      <c r="A100" s="3"/>
      <c r="B100" s="3"/>
      <c r="C100" s="4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t="s">
        <v>637</v>
      </c>
    </row>
    <row r="101" spans="1:14" x14ac:dyDescent="0.25">
      <c r="A101" s="3"/>
      <c r="B101" s="3"/>
      <c r="C101" s="4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t="s">
        <v>639</v>
      </c>
    </row>
    <row r="102" spans="1:14" x14ac:dyDescent="0.25">
      <c r="A102" s="3"/>
      <c r="B102" s="3"/>
      <c r="C102" s="4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t="s">
        <v>641</v>
      </c>
    </row>
    <row r="103" spans="1:14" x14ac:dyDescent="0.25">
      <c r="A103" s="3"/>
      <c r="B103" s="3"/>
      <c r="C103" s="4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t="s">
        <v>643</v>
      </c>
    </row>
    <row r="104" spans="1:14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t="s">
        <v>679</v>
      </c>
    </row>
    <row r="105" spans="1:14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t="s">
        <v>683</v>
      </c>
    </row>
    <row r="106" spans="1:14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t="s">
        <v>685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31AA6-3CE8-4202-960E-297DA6F6C8DC}">
  <sheetPr codeName="Sheet22">
    <tabColor rgb="FFCCCC00"/>
  </sheetPr>
  <dimension ref="A1:V102"/>
  <sheetViews>
    <sheetView workbookViewId="0">
      <pane ySplit="1" topLeftCell="A2" activePane="bottomLeft" state="frozen"/>
      <selection pane="bottomLeft" activeCell="N2" sqref="N2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966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887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3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871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3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872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873</v>
      </c>
    </row>
    <row r="6" spans="1:22" x14ac:dyDescent="0.25">
      <c r="A6" s="3" t="s">
        <v>24</v>
      </c>
      <c r="B6" s="3">
        <v>0</v>
      </c>
      <c r="C6" s="3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874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879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880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881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882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883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884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392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885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394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395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886</v>
      </c>
    </row>
    <row r="18" spans="1:14" x14ac:dyDescent="0.25">
      <c r="A18" s="3" t="s">
        <v>48</v>
      </c>
      <c r="B18" s="3">
        <v>1</v>
      </c>
      <c r="C18" s="3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399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400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401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402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403</v>
      </c>
    </row>
    <row r="23" spans="1:14" x14ac:dyDescent="0.25">
      <c r="A23" s="3"/>
      <c r="B23" s="3"/>
      <c r="C23" s="4"/>
      <c r="D23" s="3"/>
      <c r="E23" s="3"/>
      <c r="F23" s="3"/>
      <c r="G23" s="3"/>
      <c r="H23" s="3"/>
      <c r="I23" s="3"/>
      <c r="J23" s="3"/>
      <c r="K23" s="3"/>
      <c r="L23" s="3"/>
      <c r="M23" s="3"/>
      <c r="N23" t="s">
        <v>875</v>
      </c>
    </row>
    <row r="24" spans="1:14" x14ac:dyDescent="0.25">
      <c r="A24" s="3"/>
      <c r="B24" s="3"/>
      <c r="C24" s="4"/>
      <c r="D24" s="3"/>
      <c r="E24" s="3"/>
      <c r="F24" s="3"/>
      <c r="G24" s="3"/>
      <c r="H24" s="3"/>
      <c r="I24" s="3"/>
      <c r="J24" s="3"/>
      <c r="K24" s="3"/>
      <c r="L24" s="3"/>
      <c r="M24" s="3"/>
      <c r="N24" t="s">
        <v>876</v>
      </c>
    </row>
    <row r="25" spans="1:14" x14ac:dyDescent="0.25">
      <c r="A25" s="3"/>
      <c r="B25" s="3"/>
      <c r="C25" s="4"/>
      <c r="D25" s="3"/>
      <c r="E25" s="3"/>
      <c r="F25" s="3"/>
      <c r="G25" s="3"/>
      <c r="H25" s="3"/>
      <c r="I25" s="3"/>
      <c r="J25" s="3"/>
      <c r="K25" s="3"/>
      <c r="L25" s="3"/>
      <c r="M25" s="3"/>
      <c r="N25" t="s">
        <v>877</v>
      </c>
    </row>
    <row r="26" spans="1:14" x14ac:dyDescent="0.25">
      <c r="A26" s="3"/>
      <c r="B26" s="3"/>
      <c r="C26" s="4"/>
      <c r="D26" s="3"/>
      <c r="E26" s="3"/>
      <c r="F26" s="3"/>
      <c r="G26" s="3"/>
      <c r="H26" s="3"/>
      <c r="I26" s="3"/>
      <c r="J26" s="3"/>
      <c r="K26" s="3"/>
      <c r="L26" s="3"/>
      <c r="M26" s="3"/>
      <c r="N26" t="s">
        <v>878</v>
      </c>
    </row>
    <row r="27" spans="1:14" x14ac:dyDescent="0.25">
      <c r="A27" s="3"/>
      <c r="B27" s="3"/>
      <c r="C27" s="4"/>
      <c r="D27" s="3"/>
      <c r="E27" s="3"/>
      <c r="F27" s="3"/>
      <c r="G27" s="3"/>
      <c r="H27" s="3"/>
      <c r="I27" s="3"/>
      <c r="J27" s="3"/>
      <c r="K27" s="3"/>
      <c r="L27" s="3"/>
      <c r="M27" s="3"/>
      <c r="N27" t="s">
        <v>396</v>
      </c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t="s">
        <v>397</v>
      </c>
    </row>
    <row r="29" spans="1:14" x14ac:dyDescent="0.25">
      <c r="A29" s="3"/>
      <c r="B29" s="3"/>
      <c r="C29" s="4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404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25">
      <c r="A36" s="3"/>
      <c r="B36" s="3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25">
      <c r="A37" s="3"/>
      <c r="B37" s="3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0B0A0-CC3D-402F-9C03-BFE2E8CDF4BB}">
  <sheetPr codeName="Sheet23">
    <tabColor rgb="FFFCF600"/>
  </sheetPr>
  <dimension ref="A1:V102"/>
  <sheetViews>
    <sheetView workbookViewId="0">
      <pane ySplit="1" topLeftCell="A2" activePane="bottomLeft" state="frozen"/>
      <selection activeCell="N2" sqref="N2"/>
      <selection pane="bottomLeft" activeCell="N2" sqref="N2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975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913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892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3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893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894</v>
      </c>
    </row>
    <row r="6" spans="1:22" x14ac:dyDescent="0.25">
      <c r="A6" s="3" t="s">
        <v>24</v>
      </c>
      <c r="B6" s="3">
        <v>0</v>
      </c>
      <c r="C6" s="3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895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896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897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898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899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900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901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902</v>
      </c>
    </row>
    <row r="14" spans="1:22" x14ac:dyDescent="0.25">
      <c r="A14" s="3" t="s">
        <v>40</v>
      </c>
      <c r="B14" s="3">
        <v>1</v>
      </c>
      <c r="C14" s="3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903</v>
      </c>
    </row>
    <row r="15" spans="1:22" x14ac:dyDescent="0.25">
      <c r="A15" s="3" t="s">
        <v>42</v>
      </c>
      <c r="B15" s="3">
        <v>1</v>
      </c>
      <c r="C15" s="3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904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905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906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907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908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909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910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911</v>
      </c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t="s">
        <v>875</v>
      </c>
    </row>
    <row r="24" spans="1:14" x14ac:dyDescent="0.25">
      <c r="A24" s="3"/>
      <c r="B24" s="3"/>
      <c r="C24" s="4"/>
      <c r="D24" s="3"/>
      <c r="E24" s="3"/>
      <c r="F24" s="3"/>
      <c r="G24" s="3"/>
      <c r="H24" s="3"/>
      <c r="I24" s="3"/>
      <c r="J24" s="3"/>
      <c r="K24" s="3"/>
      <c r="L24" s="3"/>
      <c r="M24" s="3"/>
      <c r="N24" t="s">
        <v>876</v>
      </c>
    </row>
    <row r="25" spans="1:14" x14ac:dyDescent="0.25">
      <c r="A25" s="3"/>
      <c r="B25" s="3"/>
      <c r="C25" s="4"/>
      <c r="D25" s="3"/>
      <c r="E25" s="3"/>
      <c r="F25" s="3"/>
      <c r="G25" s="3"/>
      <c r="H25" s="3"/>
      <c r="I25" s="3"/>
      <c r="J25" s="3"/>
      <c r="K25" s="3"/>
      <c r="L25" s="3"/>
      <c r="M25" s="3"/>
      <c r="N25" t="s">
        <v>877</v>
      </c>
    </row>
    <row r="26" spans="1:14" x14ac:dyDescent="0.25">
      <c r="A26" s="3"/>
      <c r="B26" s="3"/>
      <c r="C26" s="4"/>
      <c r="D26" s="3"/>
      <c r="E26" s="3"/>
      <c r="F26" s="3"/>
      <c r="G26" s="3"/>
      <c r="H26" s="3"/>
      <c r="I26" s="3"/>
      <c r="J26" s="3"/>
      <c r="K26" s="3"/>
      <c r="L26" s="3"/>
      <c r="M26" s="3"/>
      <c r="N26" t="s">
        <v>878</v>
      </c>
    </row>
    <row r="27" spans="1:14" x14ac:dyDescent="0.25">
      <c r="A27" s="3"/>
      <c r="B27" s="3"/>
      <c r="C27" s="4"/>
      <c r="D27" s="3"/>
      <c r="E27" s="3"/>
      <c r="F27" s="3"/>
      <c r="G27" s="3"/>
      <c r="H27" s="3"/>
      <c r="I27" s="3"/>
      <c r="J27" s="3"/>
      <c r="K27" s="3"/>
      <c r="L27" s="3"/>
      <c r="M27" s="3"/>
      <c r="N27" t="s">
        <v>396</v>
      </c>
    </row>
    <row r="28" spans="1:14" x14ac:dyDescent="0.25">
      <c r="A28" s="3"/>
      <c r="B28" s="3"/>
      <c r="C28" s="4"/>
      <c r="D28" s="3"/>
      <c r="E28" s="3"/>
      <c r="F28" s="3"/>
      <c r="G28" s="3"/>
      <c r="H28" s="3"/>
      <c r="I28" s="3"/>
      <c r="J28" s="3"/>
      <c r="K28" s="3"/>
      <c r="L28" s="3"/>
      <c r="M28" s="3"/>
      <c r="N28" t="s">
        <v>397</v>
      </c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912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25">
      <c r="A36" s="3"/>
      <c r="B36" s="3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25">
      <c r="A37" s="3"/>
      <c r="B37" s="3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582C-D2DB-4C93-93A5-9948FEC9E693}">
  <sheetPr codeName="Sheet24">
    <tabColor rgb="FFCCCC00"/>
  </sheetPr>
  <dimension ref="A1:V102"/>
  <sheetViews>
    <sheetView workbookViewId="0">
      <pane ySplit="1" topLeftCell="A2" activePane="bottomLeft" state="frozen"/>
      <selection pane="bottomLeft" activeCell="N1" sqref="N1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967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915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916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917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918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919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926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927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928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929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930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931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932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933</v>
      </c>
    </row>
    <row r="15" spans="1:22" x14ac:dyDescent="0.25">
      <c r="A15" s="3" t="s">
        <v>42</v>
      </c>
      <c r="B15" s="3">
        <v>1</v>
      </c>
      <c r="C15" s="3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191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192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936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198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199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200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3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711</v>
      </c>
    </row>
    <row r="23" spans="1:14" x14ac:dyDescent="0.25">
      <c r="A23" s="3" t="s">
        <v>58</v>
      </c>
      <c r="B23" s="3">
        <v>2</v>
      </c>
      <c r="C23" s="3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914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922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923</v>
      </c>
    </row>
    <row r="26" spans="1:14" x14ac:dyDescent="0.25">
      <c r="A26" s="3" t="s">
        <v>64</v>
      </c>
      <c r="B26" s="3">
        <v>2</v>
      </c>
      <c r="C26" s="3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925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934</v>
      </c>
    </row>
    <row r="28" spans="1:14" x14ac:dyDescent="0.25">
      <c r="A28" s="3" t="s">
        <v>68</v>
      </c>
      <c r="B28" s="3">
        <v>2</v>
      </c>
      <c r="C28" s="3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935</v>
      </c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937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  <c r="N30" t="s">
        <v>920</v>
      </c>
    </row>
    <row r="31" spans="1:14" x14ac:dyDescent="0.25">
      <c r="A31" s="3"/>
      <c r="B31" s="3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  <c r="N31" t="s">
        <v>921</v>
      </c>
    </row>
    <row r="32" spans="1:14" x14ac:dyDescent="0.25">
      <c r="A32" s="3"/>
      <c r="B32" s="3"/>
      <c r="C32" s="4"/>
      <c r="D32" s="3"/>
      <c r="E32" s="3"/>
      <c r="F32" s="3"/>
      <c r="G32" s="3"/>
      <c r="H32" s="3"/>
      <c r="I32" s="3"/>
      <c r="J32" s="3"/>
      <c r="K32" s="3"/>
      <c r="L32" s="3"/>
      <c r="M32" s="3"/>
      <c r="N32" t="s">
        <v>778</v>
      </c>
    </row>
    <row r="33" spans="1:14" x14ac:dyDescent="0.25">
      <c r="A33" s="3"/>
      <c r="B33" s="3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  <c r="N33" t="s">
        <v>924</v>
      </c>
    </row>
    <row r="34" spans="1:14" x14ac:dyDescent="0.25">
      <c r="A34" s="3"/>
      <c r="B34" s="3"/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  <c r="N34" t="s">
        <v>186</v>
      </c>
    </row>
    <row r="35" spans="1:14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  <c r="N35" t="s">
        <v>187</v>
      </c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t="s">
        <v>195</v>
      </c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t="s">
        <v>196</v>
      </c>
    </row>
    <row r="38" spans="1:14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4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4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72119-C14D-4B81-8A30-C2024952B222}">
  <sheetPr codeName="Sheet25">
    <tabColor rgb="FFFCF600"/>
  </sheetPr>
  <dimension ref="A1:V102"/>
  <sheetViews>
    <sheetView workbookViewId="0">
      <pane ySplit="1" topLeftCell="A2" activePane="bottomLeft" state="frozen"/>
      <selection pane="bottomLeft" activeCell="N1" sqref="N1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974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942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943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944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945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946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950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951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952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953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954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955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956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957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958</v>
      </c>
    </row>
    <row r="16" spans="1:22" x14ac:dyDescent="0.25">
      <c r="A16" s="3" t="s">
        <v>44</v>
      </c>
      <c r="B16" s="3">
        <v>1</v>
      </c>
      <c r="C16" s="3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959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962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963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7</v>
      </c>
      <c r="M19" s="3"/>
      <c r="N19" t="s">
        <v>964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7</v>
      </c>
      <c r="M20" s="3"/>
      <c r="N20" t="s">
        <v>965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938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939</v>
      </c>
    </row>
    <row r="23" spans="1:14" x14ac:dyDescent="0.25">
      <c r="A23" s="3" t="s">
        <v>58</v>
      </c>
      <c r="B23" s="3">
        <v>2</v>
      </c>
      <c r="C23" s="3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941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947</v>
      </c>
    </row>
    <row r="25" spans="1:14" x14ac:dyDescent="0.25">
      <c r="A25" s="3" t="s">
        <v>62</v>
      </c>
      <c r="B25" s="3">
        <v>2</v>
      </c>
      <c r="C25" s="3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948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949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960</v>
      </c>
    </row>
    <row r="28" spans="1:14" x14ac:dyDescent="0.25">
      <c r="A28" s="3" t="s">
        <v>68</v>
      </c>
      <c r="B28" s="3">
        <v>2</v>
      </c>
      <c r="C28" s="3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961</v>
      </c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t="s">
        <v>940</v>
      </c>
    </row>
    <row r="30" spans="1:14" x14ac:dyDescent="0.25">
      <c r="A30" s="3"/>
      <c r="B30" s="3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  <c r="N30" t="s">
        <v>920</v>
      </c>
    </row>
    <row r="31" spans="1:14" x14ac:dyDescent="0.25">
      <c r="A31" s="3"/>
      <c r="B31" s="3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  <c r="N31" t="s">
        <v>921</v>
      </c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t="s">
        <v>778</v>
      </c>
    </row>
    <row r="33" spans="1:14" x14ac:dyDescent="0.25">
      <c r="A33" s="3"/>
      <c r="B33" s="3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  <c r="N33" t="s">
        <v>924</v>
      </c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t="s">
        <v>186</v>
      </c>
    </row>
    <row r="35" spans="1:14" x14ac:dyDescent="0.25">
      <c r="A35" s="3"/>
      <c r="B35" s="3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  <c r="N35" t="s">
        <v>187</v>
      </c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t="s">
        <v>195</v>
      </c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t="s">
        <v>196</v>
      </c>
    </row>
    <row r="38" spans="1:14" x14ac:dyDescent="0.25">
      <c r="A38" s="3"/>
      <c r="B38" s="3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1:14" x14ac:dyDescent="0.25">
      <c r="A39" s="3"/>
      <c r="B39" s="3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1:14" x14ac:dyDescent="0.25">
      <c r="A40" s="3"/>
      <c r="B40" s="3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1:14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1:13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1:13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3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3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3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3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3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3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3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3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3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3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3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3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3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3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93C6D-3235-4615-9943-209DC9C148EE}">
  <sheetPr codeName="Sheet26">
    <tabColor rgb="FFCCCC00"/>
  </sheetPr>
  <dimension ref="A1:V10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968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998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999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1000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1001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1002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725</v>
      </c>
    </row>
    <row r="8" spans="1:22" x14ac:dyDescent="0.25">
      <c r="A8" s="3" t="s">
        <v>28</v>
      </c>
      <c r="B8" s="3">
        <v>1</v>
      </c>
      <c r="C8" s="3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979</v>
      </c>
    </row>
    <row r="9" spans="1:22" x14ac:dyDescent="0.25">
      <c r="A9" s="3" t="s">
        <v>30</v>
      </c>
      <c r="B9" s="3">
        <v>1</v>
      </c>
      <c r="C9" s="3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982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983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984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986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987</v>
      </c>
    </row>
    <row r="14" spans="1:22" x14ac:dyDescent="0.25">
      <c r="A14" s="3" t="s">
        <v>40</v>
      </c>
      <c r="B14" s="3">
        <v>1</v>
      </c>
      <c r="C14" s="3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988</v>
      </c>
    </row>
    <row r="15" spans="1:22" x14ac:dyDescent="0.25">
      <c r="A15" s="3" t="s">
        <v>42</v>
      </c>
      <c r="B15" s="3">
        <v>1</v>
      </c>
      <c r="C15" s="3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257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258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606</v>
      </c>
    </row>
    <row r="18" spans="1:14" x14ac:dyDescent="0.25">
      <c r="A18" s="3" t="s">
        <v>48</v>
      </c>
      <c r="B18" s="3">
        <v>1</v>
      </c>
      <c r="C18" s="3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267</v>
      </c>
    </row>
    <row r="19" spans="1:14" x14ac:dyDescent="0.25">
      <c r="A19" s="3" t="s">
        <v>50</v>
      </c>
      <c r="B19" s="3">
        <v>1</v>
      </c>
      <c r="C19" s="3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268</v>
      </c>
    </row>
    <row r="20" spans="1:14" x14ac:dyDescent="0.25">
      <c r="A20" s="3" t="s">
        <v>52</v>
      </c>
      <c r="B20" s="3">
        <v>1</v>
      </c>
      <c r="C20" s="3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269</v>
      </c>
    </row>
    <row r="21" spans="1:14" x14ac:dyDescent="0.25">
      <c r="A21" s="3" t="s">
        <v>54</v>
      </c>
      <c r="B21" s="3">
        <v>1</v>
      </c>
      <c r="C21" s="3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711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997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1003</v>
      </c>
    </row>
    <row r="25" spans="1:14" x14ac:dyDescent="0.25">
      <c r="A25" s="3" t="s">
        <v>62</v>
      </c>
      <c r="B25" s="3">
        <v>2</v>
      </c>
      <c r="C25" s="3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976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978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989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990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/>
      <c r="F29" s="3"/>
      <c r="G29" s="3"/>
      <c r="H29" s="3"/>
      <c r="I29" s="3"/>
      <c r="J29" s="3"/>
      <c r="K29" s="3"/>
      <c r="L29" s="3"/>
      <c r="M29" s="3"/>
      <c r="N29" t="s">
        <v>977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15</v>
      </c>
      <c r="F30" s="3">
        <v>7</v>
      </c>
      <c r="G30" s="3"/>
      <c r="H30" s="3"/>
      <c r="I30" s="3"/>
      <c r="J30" s="3"/>
      <c r="K30" s="3"/>
      <c r="L30" s="3"/>
      <c r="M30" s="3"/>
      <c r="N30" t="s">
        <v>981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251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252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991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992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994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995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/>
      <c r="M37" s="3"/>
      <c r="N37" t="s">
        <v>993</v>
      </c>
    </row>
    <row r="38" spans="1:14" x14ac:dyDescent="0.25">
      <c r="A38" s="3" t="s">
        <v>106</v>
      </c>
      <c r="B38" s="3">
        <v>3</v>
      </c>
      <c r="C38" s="4">
        <v>8</v>
      </c>
      <c r="D38" s="3"/>
      <c r="E38" s="3"/>
      <c r="F38" s="3"/>
      <c r="G38" s="3"/>
      <c r="H38" s="3"/>
      <c r="I38" s="3"/>
      <c r="J38" s="3"/>
      <c r="K38" s="3"/>
      <c r="L38" s="3"/>
      <c r="M38" s="3">
        <v>2</v>
      </c>
      <c r="N38" t="s">
        <v>985</v>
      </c>
    </row>
    <row r="39" spans="1:14" x14ac:dyDescent="0.25">
      <c r="A39" s="3" t="s">
        <v>110</v>
      </c>
      <c r="B39" s="3">
        <v>3</v>
      </c>
      <c r="C39" s="4">
        <v>10</v>
      </c>
      <c r="D39" s="3"/>
      <c r="E39" s="3"/>
      <c r="F39" s="3"/>
      <c r="G39" s="3"/>
      <c r="H39" s="3"/>
      <c r="I39" s="3"/>
      <c r="J39" s="3"/>
      <c r="K39" s="3"/>
      <c r="L39" s="3"/>
      <c r="M39" s="3"/>
      <c r="N39" t="s">
        <v>980</v>
      </c>
    </row>
    <row r="40" spans="1:14" x14ac:dyDescent="0.25">
      <c r="A40" s="3" t="s">
        <v>116</v>
      </c>
      <c r="B40" s="3">
        <v>3</v>
      </c>
      <c r="C40" s="3">
        <v>13</v>
      </c>
      <c r="D40" s="3"/>
      <c r="E40" s="3"/>
      <c r="F40" s="3"/>
      <c r="G40" s="3"/>
      <c r="H40" s="3"/>
      <c r="I40" s="3"/>
      <c r="J40" s="3"/>
      <c r="K40" s="3"/>
      <c r="L40" s="3"/>
      <c r="M40" s="3"/>
      <c r="N40" t="s">
        <v>996</v>
      </c>
    </row>
    <row r="41" spans="1:14" x14ac:dyDescent="0.25">
      <c r="A41" s="3"/>
      <c r="B41" s="3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714</v>
      </c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722</v>
      </c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723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724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396</v>
      </c>
    </row>
    <row r="46" spans="1:14" x14ac:dyDescent="0.25">
      <c r="A46" s="3"/>
      <c r="B46" s="3"/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4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263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264</v>
      </c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B2AE8-C71B-48CD-87DE-A7B31AF0F898}">
  <sheetPr codeName="Sheet27">
    <tabColor rgb="FFFCF600"/>
  </sheetPr>
  <dimension ref="A1:V10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973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1011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1012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1013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1014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1015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1020</v>
      </c>
    </row>
    <row r="8" spans="1:22" x14ac:dyDescent="0.25">
      <c r="A8" s="3" t="s">
        <v>28</v>
      </c>
      <c r="B8" s="3">
        <v>1</v>
      </c>
      <c r="C8" s="3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1021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1024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1025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1026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1030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1031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1032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1033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1034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8</v>
      </c>
      <c r="M17" s="3"/>
      <c r="N17" t="s">
        <v>1040</v>
      </c>
    </row>
    <row r="18" spans="1:14" x14ac:dyDescent="0.25">
      <c r="A18" s="3" t="s">
        <v>48</v>
      </c>
      <c r="B18" s="3">
        <v>1</v>
      </c>
      <c r="C18" s="3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8</v>
      </c>
      <c r="M18" s="3"/>
      <c r="N18" t="s">
        <v>1041</v>
      </c>
    </row>
    <row r="19" spans="1:14" x14ac:dyDescent="0.25">
      <c r="A19" s="3" t="s">
        <v>50</v>
      </c>
      <c r="B19" s="3">
        <v>1</v>
      </c>
      <c r="C19" s="3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7</v>
      </c>
      <c r="M19" s="3"/>
      <c r="N19" t="s">
        <v>1042</v>
      </c>
    </row>
    <row r="20" spans="1:14" x14ac:dyDescent="0.25">
      <c r="A20" s="3" t="s">
        <v>52</v>
      </c>
      <c r="B20" s="3">
        <v>1</v>
      </c>
      <c r="C20" s="3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7</v>
      </c>
      <c r="M20" s="3"/>
      <c r="N20" t="s">
        <v>1043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6</v>
      </c>
      <c r="M21" s="3"/>
      <c r="N21" t="s">
        <v>1004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6</v>
      </c>
      <c r="M22" s="3"/>
      <c r="N22" t="s">
        <v>1005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1010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1016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1017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1019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1035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1036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11</v>
      </c>
      <c r="F29" s="3">
        <v>7</v>
      </c>
      <c r="G29" s="3">
        <v>1</v>
      </c>
      <c r="H29" s="3">
        <v>1</v>
      </c>
      <c r="I29" s="3"/>
      <c r="J29" s="3"/>
      <c r="K29" s="3"/>
      <c r="L29" s="3"/>
      <c r="M29" s="3"/>
      <c r="N29" t="s">
        <v>1018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12</v>
      </c>
      <c r="F30" s="3">
        <v>7</v>
      </c>
      <c r="G30" s="3"/>
      <c r="H30" s="3"/>
      <c r="I30" s="3"/>
      <c r="J30" s="3"/>
      <c r="K30" s="3"/>
      <c r="L30" s="3"/>
      <c r="M30" s="3"/>
      <c r="N30" t="s">
        <v>1023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1</v>
      </c>
      <c r="N31" t="s">
        <v>1027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1</v>
      </c>
      <c r="N32" t="s">
        <v>1028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1</v>
      </c>
      <c r="M33" s="3"/>
      <c r="N33" t="s">
        <v>1037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1</v>
      </c>
      <c r="M34" s="3"/>
      <c r="N34" t="s">
        <v>1038</v>
      </c>
    </row>
    <row r="35" spans="1:14" x14ac:dyDescent="0.25">
      <c r="A35" s="3" t="s">
        <v>82</v>
      </c>
      <c r="B35" s="3">
        <v>2</v>
      </c>
      <c r="C35" s="3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3</v>
      </c>
      <c r="M35" s="3"/>
      <c r="N35" t="s">
        <v>1006</v>
      </c>
    </row>
    <row r="36" spans="1:14" x14ac:dyDescent="0.25">
      <c r="A36" s="3" t="s">
        <v>84</v>
      </c>
      <c r="B36" s="3">
        <v>2</v>
      </c>
      <c r="C36" s="3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3</v>
      </c>
      <c r="M36" s="3"/>
      <c r="N36" t="s">
        <v>1007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>
        <v>4</v>
      </c>
      <c r="M37" s="3"/>
      <c r="N37" t="s">
        <v>1039</v>
      </c>
    </row>
    <row r="38" spans="1:14" x14ac:dyDescent="0.25">
      <c r="A38" s="3" t="s">
        <v>106</v>
      </c>
      <c r="B38" s="3">
        <v>3</v>
      </c>
      <c r="C38" s="3">
        <v>8</v>
      </c>
      <c r="D38" s="3"/>
      <c r="E38" s="3"/>
      <c r="F38" s="3"/>
      <c r="G38" s="3"/>
      <c r="H38" s="3"/>
      <c r="I38" s="3"/>
      <c r="J38" s="3"/>
      <c r="K38" s="3"/>
      <c r="L38" s="3"/>
      <c r="M38" s="3">
        <v>1</v>
      </c>
      <c r="N38" t="s">
        <v>1029</v>
      </c>
    </row>
    <row r="39" spans="1:14" x14ac:dyDescent="0.25">
      <c r="A39" s="3" t="s">
        <v>110</v>
      </c>
      <c r="B39" s="3">
        <v>3</v>
      </c>
      <c r="C39" s="4">
        <v>10</v>
      </c>
      <c r="D39" s="3"/>
      <c r="E39" s="3">
        <v>13</v>
      </c>
      <c r="F39" s="3">
        <v>7</v>
      </c>
      <c r="G39" s="3">
        <v>1</v>
      </c>
      <c r="H39" s="3">
        <v>2</v>
      </c>
      <c r="I39" s="3"/>
      <c r="J39" s="3"/>
      <c r="K39" s="3"/>
      <c r="L39" s="3"/>
      <c r="M39" s="3"/>
      <c r="N39" t="s">
        <v>1022</v>
      </c>
    </row>
    <row r="40" spans="1:14" x14ac:dyDescent="0.25">
      <c r="A40" s="3" t="s">
        <v>116</v>
      </c>
      <c r="B40" s="3">
        <v>3</v>
      </c>
      <c r="C40" s="4">
        <v>13</v>
      </c>
      <c r="D40" s="3"/>
      <c r="E40" s="3"/>
      <c r="F40" s="3"/>
      <c r="G40" s="3"/>
      <c r="H40" s="3"/>
      <c r="I40" s="3"/>
      <c r="J40" s="3"/>
      <c r="K40" s="3">
        <v>1</v>
      </c>
      <c r="L40" s="3"/>
      <c r="M40" s="3"/>
      <c r="N40" t="s">
        <v>1009</v>
      </c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1008</v>
      </c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722</v>
      </c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723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724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396</v>
      </c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263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264</v>
      </c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E0097-B4EF-46C9-9DC0-28A24D0E05EA}">
  <sheetPr codeName="Sheet28">
    <tabColor rgb="FFCCCC00"/>
  </sheetPr>
  <dimension ref="A1:V10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969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1052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1053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3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1054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1055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1056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1062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1063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1067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1068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1069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1075</v>
      </c>
    </row>
    <row r="13" spans="1:22" x14ac:dyDescent="0.25">
      <c r="A13" s="3" t="s">
        <v>38</v>
      </c>
      <c r="B13" s="3">
        <v>1</v>
      </c>
      <c r="C13" s="3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507</v>
      </c>
    </row>
    <row r="14" spans="1:22" x14ac:dyDescent="0.25">
      <c r="A14" s="3" t="s">
        <v>40</v>
      </c>
      <c r="B14" s="3">
        <v>1</v>
      </c>
      <c r="C14" s="3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1076</v>
      </c>
    </row>
    <row r="15" spans="1:22" x14ac:dyDescent="0.25">
      <c r="A15" s="3" t="s">
        <v>42</v>
      </c>
      <c r="B15" s="3">
        <v>1</v>
      </c>
      <c r="C15" s="3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509</v>
      </c>
    </row>
    <row r="16" spans="1:22" x14ac:dyDescent="0.25">
      <c r="A16" s="3" t="s">
        <v>44</v>
      </c>
      <c r="B16" s="3">
        <v>1</v>
      </c>
      <c r="C16" s="3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510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1085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1086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1087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1088</v>
      </c>
    </row>
    <row r="21" spans="1:14" x14ac:dyDescent="0.25">
      <c r="A21" s="3" t="s">
        <v>54</v>
      </c>
      <c r="B21" s="3">
        <v>1</v>
      </c>
      <c r="C21" s="3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711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1051</v>
      </c>
    </row>
    <row r="24" spans="1:14" x14ac:dyDescent="0.25">
      <c r="A24" s="3" t="s">
        <v>60</v>
      </c>
      <c r="B24" s="3">
        <v>2</v>
      </c>
      <c r="C24" s="3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1058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1059</v>
      </c>
    </row>
    <row r="26" spans="1:14" x14ac:dyDescent="0.25">
      <c r="A26" s="3" t="s">
        <v>64</v>
      </c>
      <c r="B26" s="3">
        <v>2</v>
      </c>
      <c r="C26" s="3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1061</v>
      </c>
    </row>
    <row r="27" spans="1:14" x14ac:dyDescent="0.25">
      <c r="A27" s="3" t="s">
        <v>66</v>
      </c>
      <c r="B27" s="3">
        <v>2</v>
      </c>
      <c r="C27" s="3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1077</v>
      </c>
    </row>
    <row r="28" spans="1:14" x14ac:dyDescent="0.25">
      <c r="A28" s="3" t="s">
        <v>68</v>
      </c>
      <c r="B28" s="3">
        <v>2</v>
      </c>
      <c r="C28" s="3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1078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/>
      <c r="F29" s="3"/>
      <c r="G29" s="3"/>
      <c r="H29" s="3"/>
      <c r="I29" s="3"/>
      <c r="J29" s="3"/>
      <c r="K29" s="3"/>
      <c r="L29" s="3"/>
      <c r="M29" s="3"/>
      <c r="N29" t="s">
        <v>1060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15</v>
      </c>
      <c r="F30" s="3">
        <v>7</v>
      </c>
      <c r="G30" s="3"/>
      <c r="H30" s="3"/>
      <c r="I30" s="3"/>
      <c r="J30" s="3"/>
      <c r="K30" s="3"/>
      <c r="L30" s="3"/>
      <c r="M30" s="3"/>
      <c r="N30" t="s">
        <v>1066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497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498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1079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1080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4</v>
      </c>
      <c r="M35" s="3"/>
      <c r="N35" t="s">
        <v>1044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4</v>
      </c>
      <c r="M36" s="3"/>
      <c r="N36" t="s">
        <v>1045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/>
      <c r="M37" s="3"/>
      <c r="N37" t="s">
        <v>1046</v>
      </c>
    </row>
    <row r="38" spans="1:14" x14ac:dyDescent="0.25">
      <c r="A38" s="3" t="s">
        <v>88</v>
      </c>
      <c r="B38" s="3">
        <v>2</v>
      </c>
      <c r="C38" s="3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/>
      <c r="M38" s="3"/>
      <c r="N38" t="s">
        <v>1047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/>
      <c r="M39" s="3"/>
      <c r="N39" t="s">
        <v>1084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/>
      <c r="M40" s="3"/>
      <c r="N40" t="s">
        <v>1083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519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/>
      <c r="M42" s="3"/>
      <c r="N42" t="s">
        <v>1082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/>
      <c r="M43" s="3"/>
      <c r="N43" t="s">
        <v>1081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1074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1073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1072</v>
      </c>
    </row>
    <row r="47" spans="1:14" x14ac:dyDescent="0.25">
      <c r="A47" s="3" t="s">
        <v>106</v>
      </c>
      <c r="B47" s="3">
        <v>3</v>
      </c>
      <c r="C47" s="4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1071</v>
      </c>
    </row>
    <row r="48" spans="1:14" x14ac:dyDescent="0.25">
      <c r="A48" s="3" t="s">
        <v>108</v>
      </c>
      <c r="B48" s="3">
        <v>3</v>
      </c>
      <c r="C48" s="4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1070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1065</v>
      </c>
    </row>
    <row r="50" spans="1:14" x14ac:dyDescent="0.25">
      <c r="A50" s="3" t="s">
        <v>112</v>
      </c>
      <c r="B50" s="3">
        <v>3</v>
      </c>
      <c r="C50" s="4">
        <v>11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t="s">
        <v>1064</v>
      </c>
    </row>
    <row r="51" spans="1:14" x14ac:dyDescent="0.25">
      <c r="A51" s="3" t="s">
        <v>114</v>
      </c>
      <c r="B51" s="3">
        <v>3</v>
      </c>
      <c r="C51" s="3">
        <v>12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t="s">
        <v>1057</v>
      </c>
    </row>
    <row r="52" spans="1:14" x14ac:dyDescent="0.25">
      <c r="A52" s="3" t="s">
        <v>116</v>
      </c>
      <c r="B52" s="3">
        <v>3</v>
      </c>
      <c r="C52" s="4">
        <v>13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t="s">
        <v>1050</v>
      </c>
    </row>
    <row r="53" spans="1:14" x14ac:dyDescent="0.25">
      <c r="A53" s="3" t="s">
        <v>118</v>
      </c>
      <c r="B53" s="3">
        <v>3</v>
      </c>
      <c r="C53" s="4">
        <v>14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t="s">
        <v>1049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1048</v>
      </c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738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740</v>
      </c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623</v>
      </c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749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750</v>
      </c>
    </row>
    <row r="60" spans="1:14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752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753</v>
      </c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A286-BA89-4B22-A060-4B7F0158D822}">
  <sheetPr codeName="Sheet29">
    <tabColor rgb="FFFCF600"/>
  </sheetPr>
  <dimension ref="A1:V10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972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1100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1101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1102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1103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1104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1110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1111</v>
      </c>
    </row>
    <row r="9" spans="1:22" x14ac:dyDescent="0.25">
      <c r="A9" s="3" t="s">
        <v>30</v>
      </c>
      <c r="B9" s="3">
        <v>1</v>
      </c>
      <c r="C9" s="3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1115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1116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1117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1125</v>
      </c>
    </row>
    <row r="13" spans="1:22" x14ac:dyDescent="0.25">
      <c r="A13" s="3" t="s">
        <v>38</v>
      </c>
      <c r="B13" s="3">
        <v>1</v>
      </c>
      <c r="C13" s="3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1126</v>
      </c>
    </row>
    <row r="14" spans="1:22" x14ac:dyDescent="0.25">
      <c r="A14" s="3" t="s">
        <v>40</v>
      </c>
      <c r="B14" s="3">
        <v>1</v>
      </c>
      <c r="C14" s="3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1127</v>
      </c>
    </row>
    <row r="15" spans="1:22" x14ac:dyDescent="0.25">
      <c r="A15" s="3" t="s">
        <v>42</v>
      </c>
      <c r="B15" s="3">
        <v>1</v>
      </c>
      <c r="C15" s="3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1128</v>
      </c>
    </row>
    <row r="16" spans="1:22" x14ac:dyDescent="0.25">
      <c r="A16" s="3" t="s">
        <v>44</v>
      </c>
      <c r="B16" s="3">
        <v>1</v>
      </c>
      <c r="C16" s="3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1129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/>
      <c r="M17" s="3"/>
      <c r="N17" t="s">
        <v>1139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/>
      <c r="M18" s="3"/>
      <c r="N18" t="s">
        <v>1140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/>
      <c r="M19" s="3"/>
      <c r="N19" t="s">
        <v>1141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/>
      <c r="M20" s="3"/>
      <c r="N20" t="s">
        <v>1142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/>
      <c r="M21" s="3"/>
      <c r="N21" t="s">
        <v>1089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/>
      <c r="M22" s="3"/>
      <c r="N22" t="s">
        <v>1090</v>
      </c>
    </row>
    <row r="23" spans="1:14" x14ac:dyDescent="0.25">
      <c r="A23" s="3" t="s">
        <v>58</v>
      </c>
      <c r="B23" s="3">
        <v>2</v>
      </c>
      <c r="C23" s="3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1099</v>
      </c>
    </row>
    <row r="24" spans="1:14" x14ac:dyDescent="0.25">
      <c r="A24" s="3" t="s">
        <v>60</v>
      </c>
      <c r="B24" s="3">
        <v>2</v>
      </c>
      <c r="C24" s="3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1106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1107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1109</v>
      </c>
    </row>
    <row r="27" spans="1:14" x14ac:dyDescent="0.25">
      <c r="A27" s="3" t="s">
        <v>66</v>
      </c>
      <c r="B27" s="3">
        <v>2</v>
      </c>
      <c r="C27" s="3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1130</v>
      </c>
    </row>
    <row r="28" spans="1:14" x14ac:dyDescent="0.25">
      <c r="A28" s="3" t="s">
        <v>68</v>
      </c>
      <c r="B28" s="3">
        <v>2</v>
      </c>
      <c r="C28" s="3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1131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11</v>
      </c>
      <c r="F29" s="3">
        <v>7</v>
      </c>
      <c r="G29" s="3">
        <v>1</v>
      </c>
      <c r="H29" s="3">
        <v>1</v>
      </c>
      <c r="I29" s="3"/>
      <c r="J29" s="3"/>
      <c r="K29" s="3"/>
      <c r="L29" s="3"/>
      <c r="M29" s="3"/>
      <c r="N29" t="s">
        <v>1108</v>
      </c>
    </row>
    <row r="30" spans="1:14" x14ac:dyDescent="0.25">
      <c r="A30" s="3" t="s">
        <v>72</v>
      </c>
      <c r="B30" s="3">
        <v>2</v>
      </c>
      <c r="C30" s="3">
        <v>7</v>
      </c>
      <c r="D30" s="3">
        <v>55</v>
      </c>
      <c r="E30" s="3">
        <v>12</v>
      </c>
      <c r="F30" s="3">
        <v>7</v>
      </c>
      <c r="G30" s="3"/>
      <c r="H30" s="3"/>
      <c r="I30" s="3"/>
      <c r="J30" s="3"/>
      <c r="K30" s="3"/>
      <c r="L30" s="3"/>
      <c r="M30" s="3"/>
      <c r="N30" t="s">
        <v>1114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1</v>
      </c>
      <c r="N31" t="s">
        <v>1118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1</v>
      </c>
      <c r="N32" t="s">
        <v>1119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1</v>
      </c>
      <c r="M33" s="3"/>
      <c r="N33" t="s">
        <v>1132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1</v>
      </c>
      <c r="M34" s="3"/>
      <c r="N34" t="s">
        <v>1133</v>
      </c>
    </row>
    <row r="35" spans="1:14" x14ac:dyDescent="0.25">
      <c r="A35" s="3" t="s">
        <v>82</v>
      </c>
      <c r="B35" s="3">
        <v>2</v>
      </c>
      <c r="C35" s="3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1091</v>
      </c>
    </row>
    <row r="36" spans="1:14" x14ac:dyDescent="0.25">
      <c r="A36" s="3" t="s">
        <v>84</v>
      </c>
      <c r="B36" s="3">
        <v>2</v>
      </c>
      <c r="C36" s="3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1092</v>
      </c>
    </row>
    <row r="37" spans="1:14" x14ac:dyDescent="0.25">
      <c r="A37" s="3" t="s">
        <v>86</v>
      </c>
      <c r="B37" s="3">
        <v>2</v>
      </c>
      <c r="C37" s="3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7</v>
      </c>
      <c r="M37" s="3"/>
      <c r="N37" t="s">
        <v>1093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7</v>
      </c>
      <c r="M38" s="3"/>
      <c r="N38" t="s">
        <v>1094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1138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1137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>
        <v>8</v>
      </c>
      <c r="M41" s="3"/>
      <c r="N41" t="s">
        <v>1136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>
        <v>3</v>
      </c>
      <c r="M42" s="3"/>
      <c r="N42" t="s">
        <v>1135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>
        <v>3</v>
      </c>
      <c r="M43" s="3"/>
      <c r="N43" t="s">
        <v>1134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>
        <v>6</v>
      </c>
      <c r="M44" s="3"/>
      <c r="N44" t="s">
        <v>1124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>
        <v>6</v>
      </c>
      <c r="M45" s="3"/>
      <c r="N45" t="s">
        <v>1123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>
        <v>8</v>
      </c>
      <c r="M46" s="3"/>
      <c r="N46" t="s">
        <v>1122</v>
      </c>
    </row>
    <row r="47" spans="1:14" x14ac:dyDescent="0.25">
      <c r="A47" s="3" t="s">
        <v>106</v>
      </c>
      <c r="B47" s="3">
        <v>3</v>
      </c>
      <c r="C47" s="4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1</v>
      </c>
      <c r="N47" t="s">
        <v>1121</v>
      </c>
    </row>
    <row r="48" spans="1:14" x14ac:dyDescent="0.25">
      <c r="A48" s="3" t="s">
        <v>108</v>
      </c>
      <c r="B48" s="3">
        <v>3</v>
      </c>
      <c r="C48" s="4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1120</v>
      </c>
    </row>
    <row r="49" spans="1:14" x14ac:dyDescent="0.25">
      <c r="A49" s="3" t="s">
        <v>110</v>
      </c>
      <c r="B49" s="3">
        <v>3</v>
      </c>
      <c r="C49" s="3">
        <v>10</v>
      </c>
      <c r="D49" s="3"/>
      <c r="E49" s="3">
        <v>13</v>
      </c>
      <c r="F49" s="3">
        <v>7</v>
      </c>
      <c r="G49" s="3">
        <v>1</v>
      </c>
      <c r="H49" s="3">
        <v>2</v>
      </c>
      <c r="I49" s="3"/>
      <c r="J49" s="3"/>
      <c r="K49" s="3"/>
      <c r="L49" s="3"/>
      <c r="M49" s="3"/>
      <c r="N49" t="s">
        <v>1113</v>
      </c>
    </row>
    <row r="50" spans="1:14" x14ac:dyDescent="0.25">
      <c r="A50" s="3" t="s">
        <v>112</v>
      </c>
      <c r="B50" s="3">
        <v>3</v>
      </c>
      <c r="C50" s="3">
        <v>11</v>
      </c>
      <c r="D50" s="3"/>
      <c r="E50" s="3">
        <v>17</v>
      </c>
      <c r="F50" s="3">
        <v>7</v>
      </c>
      <c r="G50" s="3"/>
      <c r="H50" s="3"/>
      <c r="I50" s="3"/>
      <c r="J50" s="3"/>
      <c r="K50" s="3">
        <v>1</v>
      </c>
      <c r="L50" s="3"/>
      <c r="M50" s="3"/>
      <c r="N50" t="s">
        <v>1112</v>
      </c>
    </row>
    <row r="51" spans="1:14" x14ac:dyDescent="0.25">
      <c r="A51" s="3" t="s">
        <v>114</v>
      </c>
      <c r="B51" s="3">
        <v>3</v>
      </c>
      <c r="C51" s="4">
        <v>12</v>
      </c>
      <c r="D51" s="3"/>
      <c r="E51" s="3">
        <v>14</v>
      </c>
      <c r="F51" s="3">
        <v>7</v>
      </c>
      <c r="G51" s="3"/>
      <c r="H51" s="3"/>
      <c r="I51" s="3"/>
      <c r="J51" s="3"/>
      <c r="K51" s="3">
        <v>2</v>
      </c>
      <c r="L51" s="3"/>
      <c r="M51" s="3"/>
      <c r="N51" t="s">
        <v>1105</v>
      </c>
    </row>
    <row r="52" spans="1:14" x14ac:dyDescent="0.25">
      <c r="A52" s="3" t="s">
        <v>116</v>
      </c>
      <c r="B52" s="3">
        <v>3</v>
      </c>
      <c r="C52" s="4">
        <v>13</v>
      </c>
      <c r="D52" s="3"/>
      <c r="E52" s="3"/>
      <c r="F52" s="3"/>
      <c r="G52" s="3"/>
      <c r="H52" s="3"/>
      <c r="I52" s="3"/>
      <c r="J52" s="3"/>
      <c r="K52" s="3">
        <v>1</v>
      </c>
      <c r="L52" s="3"/>
      <c r="M52" s="3"/>
      <c r="N52" t="s">
        <v>1098</v>
      </c>
    </row>
    <row r="53" spans="1:14" x14ac:dyDescent="0.25">
      <c r="A53" s="3" t="s">
        <v>118</v>
      </c>
      <c r="B53" s="3">
        <v>3</v>
      </c>
      <c r="C53" s="4">
        <v>14</v>
      </c>
      <c r="D53" s="3"/>
      <c r="E53" s="3"/>
      <c r="F53" s="3"/>
      <c r="G53" s="3"/>
      <c r="H53" s="3"/>
      <c r="I53" s="3"/>
      <c r="J53" s="3"/>
      <c r="K53" s="3">
        <v>2</v>
      </c>
      <c r="L53" s="3"/>
      <c r="M53" s="3"/>
      <c r="N53" t="s">
        <v>1097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1096</v>
      </c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1095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740</v>
      </c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623</v>
      </c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749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750</v>
      </c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752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753</v>
      </c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183-F460-46DF-9EB6-E9BF8A6FFEF9}">
  <sheetPr codeName="Sheet30">
    <tabColor rgb="FFCCCC00"/>
  </sheetPr>
  <dimension ref="A1:V10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970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1154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1156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1158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1159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1160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1166</v>
      </c>
    </row>
    <row r="8" spans="1:22" x14ac:dyDescent="0.25">
      <c r="A8" s="3" t="s">
        <v>28</v>
      </c>
      <c r="B8" s="3">
        <v>1</v>
      </c>
      <c r="C8" s="3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1167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1171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1172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1173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1179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1180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43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45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1191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1192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1193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1194</v>
      </c>
    </row>
    <row r="21" spans="1:14" x14ac:dyDescent="0.25">
      <c r="A21" s="3" t="s">
        <v>54</v>
      </c>
      <c r="B21" s="3">
        <v>1</v>
      </c>
      <c r="C21" s="3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1144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1153</v>
      </c>
    </row>
    <row r="24" spans="1:14" x14ac:dyDescent="0.25">
      <c r="A24" s="3" t="s">
        <v>60</v>
      </c>
      <c r="B24" s="3">
        <v>2</v>
      </c>
      <c r="C24" s="3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1162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1163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1165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1182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1184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/>
      <c r="F29" s="3"/>
      <c r="G29" s="3"/>
      <c r="H29" s="3"/>
      <c r="I29" s="3"/>
      <c r="J29" s="3"/>
      <c r="K29" s="3"/>
      <c r="L29" s="3"/>
      <c r="M29" s="3"/>
      <c r="N29" t="s">
        <v>1164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15</v>
      </c>
      <c r="F30" s="3">
        <v>7</v>
      </c>
      <c r="G30" s="3"/>
      <c r="H30" s="3"/>
      <c r="I30" s="3"/>
      <c r="J30" s="3"/>
      <c r="K30" s="3"/>
      <c r="L30" s="3"/>
      <c r="M30" s="3"/>
      <c r="N30" t="s">
        <v>1170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75</v>
      </c>
    </row>
    <row r="32" spans="1:14" x14ac:dyDescent="0.25">
      <c r="A32" s="3" t="s">
        <v>76</v>
      </c>
      <c r="B32" s="3">
        <v>2</v>
      </c>
      <c r="C32" s="3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77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1185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1186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4</v>
      </c>
      <c r="M35" s="3"/>
      <c r="N35" t="s">
        <v>1146</v>
      </c>
    </row>
    <row r="36" spans="1:14" x14ac:dyDescent="0.25">
      <c r="A36" s="3" t="s">
        <v>84</v>
      </c>
      <c r="B36" s="3">
        <v>2</v>
      </c>
      <c r="C36" s="3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4</v>
      </c>
      <c r="M36" s="3"/>
      <c r="N36" t="s">
        <v>1147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/>
      <c r="M37" s="3"/>
      <c r="N37" t="s">
        <v>1148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/>
      <c r="M38" s="3"/>
      <c r="N38" t="s">
        <v>1149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/>
      <c r="M39" s="3"/>
      <c r="N39" t="s">
        <v>1190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/>
      <c r="M40" s="3"/>
      <c r="N40" t="s">
        <v>1189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95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/>
      <c r="M42" s="3"/>
      <c r="N42" t="s">
        <v>1188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/>
      <c r="M43" s="3"/>
      <c r="N43" t="s">
        <v>1187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1178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1177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1176</v>
      </c>
    </row>
    <row r="47" spans="1:14" x14ac:dyDescent="0.25">
      <c r="A47" s="3" t="s">
        <v>106</v>
      </c>
      <c r="B47" s="3">
        <v>3</v>
      </c>
      <c r="C47" s="3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1175</v>
      </c>
    </row>
    <row r="48" spans="1:14" x14ac:dyDescent="0.25">
      <c r="A48" s="3" t="s">
        <v>108</v>
      </c>
      <c r="B48" s="3">
        <v>3</v>
      </c>
      <c r="C48" s="3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1174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1169</v>
      </c>
    </row>
    <row r="50" spans="1:14" x14ac:dyDescent="0.25">
      <c r="A50" s="3" t="s">
        <v>112</v>
      </c>
      <c r="B50" s="3">
        <v>3</v>
      </c>
      <c r="C50" s="3">
        <v>11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t="s">
        <v>1168</v>
      </c>
    </row>
    <row r="51" spans="1:14" x14ac:dyDescent="0.25">
      <c r="A51" s="3" t="s">
        <v>114</v>
      </c>
      <c r="B51" s="3">
        <v>3</v>
      </c>
      <c r="C51" s="3">
        <v>12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t="s">
        <v>1161</v>
      </c>
    </row>
    <row r="52" spans="1:14" x14ac:dyDescent="0.25">
      <c r="A52" s="3" t="s">
        <v>116</v>
      </c>
      <c r="B52" s="3">
        <v>3</v>
      </c>
      <c r="C52" s="3">
        <v>13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t="s">
        <v>1152</v>
      </c>
    </row>
    <row r="53" spans="1:14" x14ac:dyDescent="0.25">
      <c r="A53" s="3" t="s">
        <v>118</v>
      </c>
      <c r="B53" s="3">
        <v>3</v>
      </c>
      <c r="C53" s="4">
        <v>14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t="s">
        <v>1151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1150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1143</v>
      </c>
    </row>
    <row r="56" spans="1:14" x14ac:dyDescent="0.25">
      <c r="A56" s="3" t="s">
        <v>124</v>
      </c>
      <c r="B56" s="3">
        <v>4</v>
      </c>
      <c r="C56" s="4">
        <v>1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1145</v>
      </c>
    </row>
    <row r="57" spans="1:14" x14ac:dyDescent="0.25">
      <c r="A57" s="3" t="s">
        <v>126</v>
      </c>
      <c r="B57" s="3">
        <v>4</v>
      </c>
      <c r="C57" s="4">
        <v>2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1155</v>
      </c>
    </row>
    <row r="58" spans="1:14" x14ac:dyDescent="0.25">
      <c r="A58" s="3" t="s">
        <v>128</v>
      </c>
      <c r="B58" s="3">
        <v>4</v>
      </c>
      <c r="C58" s="4">
        <v>3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1157</v>
      </c>
    </row>
    <row r="59" spans="1:14" x14ac:dyDescent="0.25">
      <c r="A59" s="3" t="s">
        <v>130</v>
      </c>
      <c r="B59" s="3">
        <v>4</v>
      </c>
      <c r="C59" s="3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131</v>
      </c>
    </row>
    <row r="60" spans="1:14" x14ac:dyDescent="0.25">
      <c r="A60" s="3" t="s">
        <v>132</v>
      </c>
      <c r="B60" s="3">
        <v>4</v>
      </c>
      <c r="C60" s="4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587</v>
      </c>
    </row>
    <row r="61" spans="1:14" x14ac:dyDescent="0.25">
      <c r="A61" s="3" t="s">
        <v>134</v>
      </c>
      <c r="B61" s="3">
        <v>4</v>
      </c>
      <c r="C61" s="4">
        <v>6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601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603</v>
      </c>
    </row>
    <row r="63" spans="1:14" x14ac:dyDescent="0.25">
      <c r="A63" s="3" t="s">
        <v>138</v>
      </c>
      <c r="B63" s="3">
        <v>4</v>
      </c>
      <c r="C63" s="4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139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141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143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145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>
        <v>2</v>
      </c>
      <c r="J67" s="3"/>
      <c r="K67" s="3"/>
      <c r="L67" s="3"/>
      <c r="M67" s="3"/>
      <c r="N67" t="s">
        <v>1181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>
        <v>2</v>
      </c>
      <c r="J68" s="3"/>
      <c r="K68" s="3"/>
      <c r="L68" s="3"/>
      <c r="M68" s="3"/>
      <c r="N68" t="s">
        <v>1183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151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153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570</v>
      </c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572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573</v>
      </c>
    </row>
    <row r="74" spans="1:14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588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589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594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595</v>
      </c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160</v>
      </c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161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162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163</v>
      </c>
    </row>
    <row r="82" spans="1:14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4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4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4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4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4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4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4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4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4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4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4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4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4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4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2BDE8-A27B-4636-AD2B-F0485BCB637B}">
  <sheetPr codeName="Sheet31">
    <tabColor rgb="FFFCF600"/>
  </sheetPr>
  <dimension ref="A1:V102"/>
  <sheetViews>
    <sheetView workbookViewId="0">
      <pane ySplit="1" topLeftCell="A59" activePane="bottomLeft" state="frozen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971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1207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1209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1211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1212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1214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1221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1222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1228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1230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1232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1240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1241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1243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1245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1246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/>
      <c r="M17" s="3"/>
      <c r="N17" t="s">
        <v>1258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/>
      <c r="M18" s="3"/>
      <c r="N18" t="s">
        <v>1259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/>
      <c r="M19" s="3"/>
      <c r="N19" t="s">
        <v>1261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/>
      <c r="M20" s="3"/>
      <c r="N20" t="s">
        <v>1263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/>
      <c r="M21" s="3"/>
      <c r="N21" t="s">
        <v>1089</v>
      </c>
    </row>
    <row r="22" spans="1:14" x14ac:dyDescent="0.25">
      <c r="A22" s="3" t="s">
        <v>56</v>
      </c>
      <c r="B22" s="3">
        <v>1</v>
      </c>
      <c r="C22" s="3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/>
      <c r="M22" s="3"/>
      <c r="N22" t="s">
        <v>1196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1206</v>
      </c>
    </row>
    <row r="24" spans="1:14" x14ac:dyDescent="0.25">
      <c r="A24" s="3" t="s">
        <v>60</v>
      </c>
      <c r="B24" s="3">
        <v>2</v>
      </c>
      <c r="C24" s="3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1217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1218</v>
      </c>
    </row>
    <row r="26" spans="1:14" x14ac:dyDescent="0.25">
      <c r="A26" s="3" t="s">
        <v>64</v>
      </c>
      <c r="B26" s="3">
        <v>2</v>
      </c>
      <c r="C26" s="3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1220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1248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1250</v>
      </c>
    </row>
    <row r="29" spans="1:14" x14ac:dyDescent="0.25">
      <c r="A29" s="3" t="s">
        <v>70</v>
      </c>
      <c r="B29" s="3">
        <v>2</v>
      </c>
      <c r="C29" s="3">
        <v>6</v>
      </c>
      <c r="D29" s="3">
        <v>54</v>
      </c>
      <c r="E29" s="3">
        <v>11</v>
      </c>
      <c r="F29" s="3">
        <v>7</v>
      </c>
      <c r="G29" s="3">
        <v>1</v>
      </c>
      <c r="H29" s="3">
        <v>1</v>
      </c>
      <c r="I29" s="3"/>
      <c r="J29" s="3"/>
      <c r="K29" s="3"/>
      <c r="L29" s="3"/>
      <c r="M29" s="3"/>
      <c r="N29" t="s">
        <v>1219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12</v>
      </c>
      <c r="F30" s="3">
        <v>7</v>
      </c>
      <c r="G30" s="3"/>
      <c r="H30" s="3"/>
      <c r="I30" s="3"/>
      <c r="J30" s="3"/>
      <c r="K30" s="3"/>
      <c r="L30" s="3"/>
      <c r="M30" s="3"/>
      <c r="N30" t="s">
        <v>1227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1</v>
      </c>
      <c r="N31" t="s">
        <v>1233</v>
      </c>
    </row>
    <row r="32" spans="1:14" x14ac:dyDescent="0.25">
      <c r="A32" s="3" t="s">
        <v>76</v>
      </c>
      <c r="B32" s="3">
        <v>2</v>
      </c>
      <c r="C32" s="3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1</v>
      </c>
      <c r="N32" t="s">
        <v>1234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1</v>
      </c>
      <c r="M33" s="3"/>
      <c r="N33" t="s">
        <v>1251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1</v>
      </c>
      <c r="M34" s="3"/>
      <c r="N34" t="s">
        <v>1252</v>
      </c>
    </row>
    <row r="35" spans="1:14" x14ac:dyDescent="0.25">
      <c r="A35" s="3" t="s">
        <v>82</v>
      </c>
      <c r="B35" s="3">
        <v>2</v>
      </c>
      <c r="C35" s="3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1198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1199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7</v>
      </c>
      <c r="M37" s="3"/>
      <c r="N37" t="s">
        <v>1200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7</v>
      </c>
      <c r="M38" s="3"/>
      <c r="N38" t="s">
        <v>1201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1257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1256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>
        <v>8</v>
      </c>
      <c r="M41" s="3"/>
      <c r="N41" t="s">
        <v>1255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>
        <v>3</v>
      </c>
      <c r="M42" s="3"/>
      <c r="N42" t="s">
        <v>1254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>
        <v>3</v>
      </c>
      <c r="M43" s="3"/>
      <c r="N43" t="s">
        <v>1253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>
        <v>6</v>
      </c>
      <c r="M44" s="3"/>
      <c r="N44" t="s">
        <v>1239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>
        <v>6</v>
      </c>
      <c r="M45" s="3"/>
      <c r="N45" t="s">
        <v>1238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>
        <v>8</v>
      </c>
      <c r="M46" s="3"/>
      <c r="N46" t="s">
        <v>1237</v>
      </c>
    </row>
    <row r="47" spans="1:14" x14ac:dyDescent="0.25">
      <c r="A47" s="3" t="s">
        <v>106</v>
      </c>
      <c r="B47" s="3">
        <v>3</v>
      </c>
      <c r="C47" s="3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1</v>
      </c>
      <c r="N47" t="s">
        <v>1236</v>
      </c>
    </row>
    <row r="48" spans="1:14" x14ac:dyDescent="0.25">
      <c r="A48" s="3" t="s">
        <v>108</v>
      </c>
      <c r="B48" s="3">
        <v>3</v>
      </c>
      <c r="C48" s="3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1235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>
        <v>13</v>
      </c>
      <c r="F49" s="3">
        <v>7</v>
      </c>
      <c r="G49" s="3">
        <v>1</v>
      </c>
      <c r="H49" s="3">
        <v>2</v>
      </c>
      <c r="I49" s="3"/>
      <c r="J49" s="3"/>
      <c r="K49" s="3"/>
      <c r="L49" s="3"/>
      <c r="M49" s="3"/>
      <c r="N49" t="s">
        <v>1225</v>
      </c>
    </row>
    <row r="50" spans="1:14" x14ac:dyDescent="0.25">
      <c r="A50" s="3" t="s">
        <v>112</v>
      </c>
      <c r="B50" s="3">
        <v>3</v>
      </c>
      <c r="C50" s="4">
        <v>11</v>
      </c>
      <c r="D50" s="3"/>
      <c r="E50" s="3">
        <v>17</v>
      </c>
      <c r="F50" s="3">
        <v>7</v>
      </c>
      <c r="G50" s="3"/>
      <c r="H50" s="3"/>
      <c r="I50" s="3"/>
      <c r="J50" s="3"/>
      <c r="K50" s="3">
        <v>1</v>
      </c>
      <c r="L50" s="3"/>
      <c r="M50" s="3"/>
      <c r="N50" t="s">
        <v>1223</v>
      </c>
    </row>
    <row r="51" spans="1:14" x14ac:dyDescent="0.25">
      <c r="A51" s="3" t="s">
        <v>114</v>
      </c>
      <c r="B51" s="3">
        <v>3</v>
      </c>
      <c r="C51" s="4">
        <v>12</v>
      </c>
      <c r="D51" s="3"/>
      <c r="E51" s="3">
        <v>14</v>
      </c>
      <c r="F51" s="3">
        <v>7</v>
      </c>
      <c r="G51" s="3"/>
      <c r="H51" s="3"/>
      <c r="I51" s="3"/>
      <c r="J51" s="3"/>
      <c r="K51" s="3">
        <v>2</v>
      </c>
      <c r="L51" s="3"/>
      <c r="M51" s="3"/>
      <c r="N51" t="s">
        <v>1216</v>
      </c>
    </row>
    <row r="52" spans="1:14" x14ac:dyDescent="0.25">
      <c r="A52" s="3" t="s">
        <v>116</v>
      </c>
      <c r="B52" s="3">
        <v>3</v>
      </c>
      <c r="C52" s="3">
        <v>13</v>
      </c>
      <c r="D52" s="3"/>
      <c r="E52" s="3"/>
      <c r="F52" s="3"/>
      <c r="G52" s="3"/>
      <c r="H52" s="3"/>
      <c r="I52" s="3"/>
      <c r="J52" s="3"/>
      <c r="K52" s="3">
        <v>1</v>
      </c>
      <c r="L52" s="3"/>
      <c r="M52" s="3"/>
      <c r="N52" t="s">
        <v>1205</v>
      </c>
    </row>
    <row r="53" spans="1:14" x14ac:dyDescent="0.25">
      <c r="A53" s="3" t="s">
        <v>118</v>
      </c>
      <c r="B53" s="3">
        <v>3</v>
      </c>
      <c r="C53" s="3">
        <v>14</v>
      </c>
      <c r="D53" s="3"/>
      <c r="E53" s="3"/>
      <c r="F53" s="3"/>
      <c r="G53" s="3"/>
      <c r="H53" s="3"/>
      <c r="I53" s="3"/>
      <c r="J53" s="3"/>
      <c r="K53" s="3">
        <v>2</v>
      </c>
      <c r="L53" s="3"/>
      <c r="M53" s="3"/>
      <c r="N53" t="s">
        <v>1204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1203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1195</v>
      </c>
    </row>
    <row r="56" spans="1:14" x14ac:dyDescent="0.25">
      <c r="A56" s="3" t="s">
        <v>124</v>
      </c>
      <c r="B56" s="3">
        <v>4</v>
      </c>
      <c r="C56" s="3">
        <v>1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1197</v>
      </c>
    </row>
    <row r="57" spans="1:14" x14ac:dyDescent="0.25">
      <c r="A57" s="3" t="s">
        <v>126</v>
      </c>
      <c r="B57" s="3">
        <v>4</v>
      </c>
      <c r="C57" s="4">
        <v>2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1208</v>
      </c>
    </row>
    <row r="58" spans="1:14" x14ac:dyDescent="0.25">
      <c r="A58" s="3" t="s">
        <v>128</v>
      </c>
      <c r="B58" s="3">
        <v>4</v>
      </c>
      <c r="C58" s="4">
        <v>3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1210</v>
      </c>
    </row>
    <row r="59" spans="1:14" x14ac:dyDescent="0.25">
      <c r="A59" s="3" t="s">
        <v>130</v>
      </c>
      <c r="B59" s="3">
        <v>4</v>
      </c>
      <c r="C59" s="3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1213</v>
      </c>
    </row>
    <row r="60" spans="1:14" x14ac:dyDescent="0.25">
      <c r="A60" s="3" t="s">
        <v>132</v>
      </c>
      <c r="B60" s="3">
        <v>4</v>
      </c>
      <c r="C60" s="4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1215</v>
      </c>
    </row>
    <row r="61" spans="1:14" x14ac:dyDescent="0.25">
      <c r="A61" s="3" t="s">
        <v>134</v>
      </c>
      <c r="B61" s="3">
        <v>4</v>
      </c>
      <c r="C61" s="4">
        <v>6</v>
      </c>
      <c r="D61" s="3"/>
      <c r="E61" s="3"/>
      <c r="F61" s="3"/>
      <c r="G61" s="3"/>
      <c r="H61" s="3"/>
      <c r="I61" s="3"/>
      <c r="J61" s="3"/>
      <c r="K61" s="3">
        <v>3</v>
      </c>
      <c r="L61" s="3"/>
      <c r="M61" s="3"/>
      <c r="N61" t="s">
        <v>1224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1226</v>
      </c>
    </row>
    <row r="63" spans="1:14" x14ac:dyDescent="0.25">
      <c r="A63" s="3" t="s">
        <v>138</v>
      </c>
      <c r="B63" s="3">
        <v>4</v>
      </c>
      <c r="C63" s="4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1229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1231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1242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1244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1247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1249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1260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1262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1202</v>
      </c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572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573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588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589</v>
      </c>
    </row>
    <row r="76" spans="1:14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594</v>
      </c>
    </row>
    <row r="77" spans="1:14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595</v>
      </c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160</v>
      </c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161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162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163</v>
      </c>
    </row>
    <row r="82" spans="1:14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4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4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4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4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4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4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4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4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4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4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4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4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4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4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12EFA-60BF-4FF2-BEAE-6FDBD1CFCDDB}">
  <sheetPr codeName="Sheet32">
    <tabColor rgb="FFFF9D5B"/>
  </sheetPr>
  <dimension ref="A1:V102"/>
  <sheetViews>
    <sheetView workbookViewId="0">
      <pane ySplit="1" topLeftCell="A2" activePane="bottomLeft" state="frozen"/>
      <selection activeCell="N2" sqref="N2"/>
      <selection pane="bottomLeft" activeCell="N2" sqref="N2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1264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998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999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1000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1001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1002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725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979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982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983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984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986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987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988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257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258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606</v>
      </c>
    </row>
    <row r="18" spans="1:14" x14ac:dyDescent="0.25">
      <c r="A18" s="3" t="s">
        <v>48</v>
      </c>
      <c r="B18" s="3">
        <v>1</v>
      </c>
      <c r="C18" s="3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267</v>
      </c>
    </row>
    <row r="19" spans="1:14" x14ac:dyDescent="0.25">
      <c r="A19" s="3" t="s">
        <v>50</v>
      </c>
      <c r="B19" s="3">
        <v>1</v>
      </c>
      <c r="C19" s="3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268</v>
      </c>
    </row>
    <row r="20" spans="1:14" x14ac:dyDescent="0.25">
      <c r="A20" s="3" t="s">
        <v>52</v>
      </c>
      <c r="B20" s="3">
        <v>1</v>
      </c>
      <c r="C20" s="3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269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3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711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997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1003</v>
      </c>
    </row>
    <row r="25" spans="1:14" x14ac:dyDescent="0.25">
      <c r="A25" s="3" t="s">
        <v>62</v>
      </c>
      <c r="B25" s="3">
        <v>2</v>
      </c>
      <c r="C25" s="3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976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978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989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990</v>
      </c>
    </row>
    <row r="29" spans="1:14" x14ac:dyDescent="0.25">
      <c r="A29" s="3" t="s">
        <v>70</v>
      </c>
      <c r="B29" s="3">
        <v>2</v>
      </c>
      <c r="C29" s="3">
        <v>6</v>
      </c>
      <c r="D29" s="3">
        <v>54</v>
      </c>
      <c r="E29" s="3"/>
      <c r="F29" s="3"/>
      <c r="G29" s="3"/>
      <c r="H29" s="3"/>
      <c r="I29" s="3"/>
      <c r="J29" s="3"/>
      <c r="K29" s="3"/>
      <c r="L29" s="3"/>
      <c r="M29" s="3"/>
      <c r="N29" t="s">
        <v>977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15</v>
      </c>
      <c r="F30" s="3">
        <v>7</v>
      </c>
      <c r="G30" s="3"/>
      <c r="H30" s="3"/>
      <c r="I30" s="3"/>
      <c r="J30" s="3"/>
      <c r="K30" s="3"/>
      <c r="L30" s="3"/>
      <c r="M30" s="3"/>
      <c r="N30" t="s">
        <v>981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251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252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991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992</v>
      </c>
    </row>
    <row r="35" spans="1:14" x14ac:dyDescent="0.25">
      <c r="A35" s="3" t="s">
        <v>82</v>
      </c>
      <c r="B35" s="3">
        <v>2</v>
      </c>
      <c r="C35" s="3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994</v>
      </c>
    </row>
    <row r="36" spans="1:14" x14ac:dyDescent="0.25">
      <c r="A36" s="3" t="s">
        <v>84</v>
      </c>
      <c r="B36" s="3">
        <v>2</v>
      </c>
      <c r="C36" s="3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995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/>
      <c r="M37" s="3"/>
      <c r="N37" t="s">
        <v>993</v>
      </c>
    </row>
    <row r="38" spans="1:14" x14ac:dyDescent="0.25">
      <c r="A38" s="3" t="s">
        <v>106</v>
      </c>
      <c r="B38" s="3">
        <v>3</v>
      </c>
      <c r="C38" s="3">
        <v>8</v>
      </c>
      <c r="D38" s="3"/>
      <c r="E38" s="3"/>
      <c r="F38" s="3"/>
      <c r="G38" s="3"/>
      <c r="H38" s="3"/>
      <c r="I38" s="3"/>
      <c r="J38" s="3"/>
      <c r="K38" s="3"/>
      <c r="L38" s="3"/>
      <c r="M38" s="3">
        <v>2</v>
      </c>
      <c r="N38" t="s">
        <v>985</v>
      </c>
    </row>
    <row r="39" spans="1:14" x14ac:dyDescent="0.25">
      <c r="A39" s="3" t="s">
        <v>110</v>
      </c>
      <c r="B39" s="3">
        <v>3</v>
      </c>
      <c r="C39" s="4">
        <v>10</v>
      </c>
      <c r="D39" s="3"/>
      <c r="E39" s="3"/>
      <c r="F39" s="3"/>
      <c r="G39" s="3"/>
      <c r="H39" s="3"/>
      <c r="I39" s="3"/>
      <c r="J39" s="3"/>
      <c r="K39" s="3"/>
      <c r="L39" s="3"/>
      <c r="M39" s="3"/>
      <c r="N39" t="s">
        <v>980</v>
      </c>
    </row>
    <row r="40" spans="1:14" x14ac:dyDescent="0.25">
      <c r="A40" s="3" t="s">
        <v>116</v>
      </c>
      <c r="B40" s="3">
        <v>3</v>
      </c>
      <c r="C40" s="4">
        <v>13</v>
      </c>
      <c r="D40" s="3"/>
      <c r="E40" s="3"/>
      <c r="F40" s="3"/>
      <c r="G40" s="3"/>
      <c r="H40" s="3"/>
      <c r="I40" s="3"/>
      <c r="J40" s="3"/>
      <c r="K40" s="3"/>
      <c r="L40" s="3"/>
      <c r="M40" s="3"/>
      <c r="N40" t="s">
        <v>996</v>
      </c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714</v>
      </c>
    </row>
    <row r="42" spans="1:14" x14ac:dyDescent="0.25">
      <c r="A42" s="3"/>
      <c r="B42" s="3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722</v>
      </c>
    </row>
    <row r="43" spans="1:14" x14ac:dyDescent="0.25">
      <c r="A43" s="3"/>
      <c r="B43" s="3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723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724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396</v>
      </c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263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264</v>
      </c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0B2AE-F70B-4301-AB15-CAE1E834AED3}">
  <sheetPr codeName="Sheet33">
    <tabColor rgb="FFFFC69F"/>
  </sheetPr>
  <dimension ref="A1:V102"/>
  <sheetViews>
    <sheetView workbookViewId="0">
      <pane ySplit="1" topLeftCell="A2" activePane="bottomLeft" state="frozen"/>
      <selection activeCell="N2" sqref="N2"/>
      <selection pane="bottomLeft" activeCell="N2" sqref="N2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1265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1011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1012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1013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1014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1015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1020</v>
      </c>
    </row>
    <row r="8" spans="1:22" x14ac:dyDescent="0.25">
      <c r="A8" s="3" t="s">
        <v>28</v>
      </c>
      <c r="B8" s="3">
        <v>1</v>
      </c>
      <c r="C8" s="3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1021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1024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1025</v>
      </c>
    </row>
    <row r="11" spans="1:22" x14ac:dyDescent="0.25">
      <c r="A11" s="3" t="s">
        <v>34</v>
      </c>
      <c r="B11" s="3">
        <v>1</v>
      </c>
      <c r="C11" s="4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1026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1030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1031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1032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1033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1034</v>
      </c>
    </row>
    <row r="17" spans="1:14" x14ac:dyDescent="0.25">
      <c r="A17" s="3" t="s">
        <v>46</v>
      </c>
      <c r="B17" s="3">
        <v>1</v>
      </c>
      <c r="C17" s="3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8</v>
      </c>
      <c r="M17" s="3"/>
      <c r="N17" t="s">
        <v>1040</v>
      </c>
    </row>
    <row r="18" spans="1:14" x14ac:dyDescent="0.25">
      <c r="A18" s="3" t="s">
        <v>48</v>
      </c>
      <c r="B18" s="3">
        <v>1</v>
      </c>
      <c r="C18" s="3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8</v>
      </c>
      <c r="M18" s="3"/>
      <c r="N18" t="s">
        <v>1041</v>
      </c>
    </row>
    <row r="19" spans="1:14" x14ac:dyDescent="0.25">
      <c r="A19" s="3" t="s">
        <v>50</v>
      </c>
      <c r="B19" s="3">
        <v>1</v>
      </c>
      <c r="C19" s="3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7</v>
      </c>
      <c r="M19" s="3"/>
      <c r="N19" t="s">
        <v>1042</v>
      </c>
    </row>
    <row r="20" spans="1:14" x14ac:dyDescent="0.25">
      <c r="A20" s="3" t="s">
        <v>52</v>
      </c>
      <c r="B20" s="3">
        <v>1</v>
      </c>
      <c r="C20" s="3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7</v>
      </c>
      <c r="M20" s="3"/>
      <c r="N20" t="s">
        <v>1043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6</v>
      </c>
      <c r="M21" s="3"/>
      <c r="N21" t="s">
        <v>1004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6</v>
      </c>
      <c r="M22" s="3"/>
      <c r="N22" t="s">
        <v>1005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1010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1016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1017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1019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1035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1036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11</v>
      </c>
      <c r="F29" s="3">
        <v>7</v>
      </c>
      <c r="G29" s="3">
        <v>1</v>
      </c>
      <c r="H29" s="3">
        <v>1</v>
      </c>
      <c r="I29" s="3"/>
      <c r="J29" s="3"/>
      <c r="K29" s="3"/>
      <c r="L29" s="3"/>
      <c r="M29" s="3"/>
      <c r="N29" t="s">
        <v>1018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12</v>
      </c>
      <c r="F30" s="3">
        <v>7</v>
      </c>
      <c r="G30" s="3"/>
      <c r="H30" s="3"/>
      <c r="I30" s="3"/>
      <c r="J30" s="3"/>
      <c r="K30" s="3"/>
      <c r="L30" s="3"/>
      <c r="M30" s="3"/>
      <c r="N30" t="s">
        <v>1023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1</v>
      </c>
      <c r="N31" t="s">
        <v>1027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1</v>
      </c>
      <c r="N32" t="s">
        <v>1028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1</v>
      </c>
      <c r="M33" s="3"/>
      <c r="N33" t="s">
        <v>1037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1</v>
      </c>
      <c r="M34" s="3"/>
      <c r="N34" t="s">
        <v>1038</v>
      </c>
    </row>
    <row r="35" spans="1:14" x14ac:dyDescent="0.25">
      <c r="A35" s="3" t="s">
        <v>82</v>
      </c>
      <c r="B35" s="3">
        <v>2</v>
      </c>
      <c r="C35" s="3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3</v>
      </c>
      <c r="M35" s="3"/>
      <c r="N35" t="s">
        <v>1006</v>
      </c>
    </row>
    <row r="36" spans="1:14" x14ac:dyDescent="0.25">
      <c r="A36" s="3" t="s">
        <v>84</v>
      </c>
      <c r="B36" s="3">
        <v>2</v>
      </c>
      <c r="C36" s="3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3</v>
      </c>
      <c r="M36" s="3"/>
      <c r="N36" t="s">
        <v>1007</v>
      </c>
    </row>
    <row r="37" spans="1:14" x14ac:dyDescent="0.25">
      <c r="A37" s="3" t="s">
        <v>92</v>
      </c>
      <c r="B37" s="3">
        <v>3</v>
      </c>
      <c r="C37" s="4">
        <v>1</v>
      </c>
      <c r="D37" s="3">
        <v>65</v>
      </c>
      <c r="E37" s="3"/>
      <c r="F37" s="3"/>
      <c r="G37" s="3"/>
      <c r="H37" s="3"/>
      <c r="I37" s="3"/>
      <c r="J37" s="3"/>
      <c r="K37" s="3"/>
      <c r="L37" s="3">
        <v>4</v>
      </c>
      <c r="M37" s="3"/>
      <c r="N37" t="s">
        <v>1039</v>
      </c>
    </row>
    <row r="38" spans="1:14" x14ac:dyDescent="0.25">
      <c r="A38" s="3" t="s">
        <v>106</v>
      </c>
      <c r="B38" s="3">
        <v>3</v>
      </c>
      <c r="C38" s="3">
        <v>8</v>
      </c>
      <c r="D38" s="3"/>
      <c r="E38" s="3"/>
      <c r="F38" s="3"/>
      <c r="G38" s="3"/>
      <c r="H38" s="3"/>
      <c r="I38" s="3"/>
      <c r="J38" s="3"/>
      <c r="K38" s="3"/>
      <c r="L38" s="3"/>
      <c r="M38" s="3">
        <v>1</v>
      </c>
      <c r="N38" t="s">
        <v>1029</v>
      </c>
    </row>
    <row r="39" spans="1:14" x14ac:dyDescent="0.25">
      <c r="A39" s="3" t="s">
        <v>110</v>
      </c>
      <c r="B39" s="3">
        <v>3</v>
      </c>
      <c r="C39" s="4">
        <v>10</v>
      </c>
      <c r="D39" s="3"/>
      <c r="E39" s="3">
        <v>13</v>
      </c>
      <c r="F39" s="3">
        <v>7</v>
      </c>
      <c r="G39" s="3">
        <v>1</v>
      </c>
      <c r="H39" s="3">
        <v>2</v>
      </c>
      <c r="I39" s="3"/>
      <c r="J39" s="3"/>
      <c r="K39" s="3"/>
      <c r="L39" s="3"/>
      <c r="M39" s="3"/>
      <c r="N39" t="s">
        <v>1022</v>
      </c>
    </row>
    <row r="40" spans="1:14" x14ac:dyDescent="0.25">
      <c r="A40" s="3" t="s">
        <v>116</v>
      </c>
      <c r="B40" s="3">
        <v>3</v>
      </c>
      <c r="C40" s="4">
        <v>13</v>
      </c>
      <c r="D40" s="3"/>
      <c r="E40" s="3"/>
      <c r="F40" s="3"/>
      <c r="G40" s="3"/>
      <c r="H40" s="3"/>
      <c r="I40" s="3"/>
      <c r="J40" s="3"/>
      <c r="K40" s="3">
        <v>1</v>
      </c>
      <c r="L40" s="3"/>
      <c r="M40" s="3"/>
      <c r="N40" t="s">
        <v>1009</v>
      </c>
    </row>
    <row r="41" spans="1:14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t="s">
        <v>1008</v>
      </c>
    </row>
    <row r="42" spans="1:14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t="s">
        <v>722</v>
      </c>
    </row>
    <row r="43" spans="1:14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t="s">
        <v>723</v>
      </c>
    </row>
    <row r="44" spans="1:14" x14ac:dyDescent="0.25">
      <c r="A44" s="3"/>
      <c r="B44" s="3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t="s">
        <v>724</v>
      </c>
    </row>
    <row r="45" spans="1:14" x14ac:dyDescent="0.25">
      <c r="A45" s="3"/>
      <c r="B45" s="3"/>
      <c r="C45" s="4"/>
      <c r="D45" s="3"/>
      <c r="E45" s="3"/>
      <c r="F45" s="3"/>
      <c r="G45" s="3"/>
      <c r="H45" s="3"/>
      <c r="I45" s="3"/>
      <c r="J45" s="3"/>
      <c r="K45" s="3"/>
      <c r="L45" s="3"/>
      <c r="M45" s="3"/>
      <c r="N45" t="s">
        <v>396</v>
      </c>
    </row>
    <row r="46" spans="1:14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t="s">
        <v>195</v>
      </c>
    </row>
    <row r="47" spans="1:14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t="s">
        <v>196</v>
      </c>
    </row>
    <row r="48" spans="1:14" x14ac:dyDescent="0.25">
      <c r="A48" s="3"/>
      <c r="B48" s="3"/>
      <c r="C48" s="4"/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263</v>
      </c>
    </row>
    <row r="49" spans="1:14" x14ac:dyDescent="0.25">
      <c r="A49" s="3"/>
      <c r="B49" s="3"/>
      <c r="C49" s="4"/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264</v>
      </c>
    </row>
    <row r="50" spans="1:14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1:14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1:14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1:14" x14ac:dyDescent="0.25">
      <c r="A53" s="3"/>
      <c r="B53" s="3"/>
      <c r="C53" s="4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14" x14ac:dyDescent="0.25">
      <c r="A54" s="3"/>
      <c r="B54" s="3"/>
      <c r="C54" s="4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1:14" x14ac:dyDescent="0.25">
      <c r="A58" s="3"/>
      <c r="B58" s="3"/>
      <c r="C58" s="4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1:14" x14ac:dyDescent="0.25">
      <c r="A62" s="3"/>
      <c r="B62" s="3"/>
      <c r="C62" s="4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1:13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1:13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3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3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3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3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3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3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C344-D23A-42F4-A95D-F98812B53124}">
  <sheetPr codeName="Sheet34">
    <tabColor rgb="FFFF9D5B"/>
  </sheetPr>
  <dimension ref="A1:V102"/>
  <sheetViews>
    <sheetView workbookViewId="0">
      <pane ySplit="1" topLeftCell="A2" activePane="bottomLeft" state="frozen"/>
      <selection activeCell="N2" sqref="N2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1268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1052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1053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3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1054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1055</v>
      </c>
    </row>
    <row r="6" spans="1:22" x14ac:dyDescent="0.25">
      <c r="A6" s="3" t="s">
        <v>24</v>
      </c>
      <c r="B6" s="3">
        <v>0</v>
      </c>
      <c r="C6" s="3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1056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1062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1063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1067</v>
      </c>
    </row>
    <row r="10" spans="1:22" x14ac:dyDescent="0.25">
      <c r="A10" s="3" t="s">
        <v>32</v>
      </c>
      <c r="B10" s="3">
        <v>1</v>
      </c>
      <c r="C10" s="3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1068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1069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1075</v>
      </c>
    </row>
    <row r="13" spans="1:22" x14ac:dyDescent="0.25">
      <c r="A13" s="3" t="s">
        <v>38</v>
      </c>
      <c r="B13" s="3">
        <v>1</v>
      </c>
      <c r="C13" s="3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507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1076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509</v>
      </c>
    </row>
    <row r="16" spans="1:22" x14ac:dyDescent="0.25">
      <c r="A16" s="3" t="s">
        <v>44</v>
      </c>
      <c r="B16" s="3">
        <v>1</v>
      </c>
      <c r="C16" s="3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510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1085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1086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1087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1088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711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1051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1058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1059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1061</v>
      </c>
    </row>
    <row r="27" spans="1:14" x14ac:dyDescent="0.25">
      <c r="A27" s="3" t="s">
        <v>66</v>
      </c>
      <c r="B27" s="3">
        <v>2</v>
      </c>
      <c r="C27" s="3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1077</v>
      </c>
    </row>
    <row r="28" spans="1:14" x14ac:dyDescent="0.25">
      <c r="A28" s="3" t="s">
        <v>68</v>
      </c>
      <c r="B28" s="3">
        <v>2</v>
      </c>
      <c r="C28" s="3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1078</v>
      </c>
    </row>
    <row r="29" spans="1:14" x14ac:dyDescent="0.25">
      <c r="A29" s="3" t="s">
        <v>70</v>
      </c>
      <c r="B29" s="3">
        <v>2</v>
      </c>
      <c r="C29" s="3">
        <v>6</v>
      </c>
      <c r="D29" s="3">
        <v>54</v>
      </c>
      <c r="E29" s="3"/>
      <c r="F29" s="3"/>
      <c r="G29" s="3"/>
      <c r="H29" s="3"/>
      <c r="I29" s="3"/>
      <c r="J29" s="3"/>
      <c r="K29" s="3"/>
      <c r="L29" s="3"/>
      <c r="M29" s="3"/>
      <c r="N29" t="s">
        <v>1060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15</v>
      </c>
      <c r="F30" s="3">
        <v>7</v>
      </c>
      <c r="G30" s="3"/>
      <c r="H30" s="3"/>
      <c r="I30" s="3"/>
      <c r="J30" s="3"/>
      <c r="K30" s="3"/>
      <c r="L30" s="3"/>
      <c r="M30" s="3"/>
      <c r="N30" t="s">
        <v>1066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497</v>
      </c>
    </row>
    <row r="32" spans="1:14" x14ac:dyDescent="0.25">
      <c r="A32" s="3" t="s">
        <v>76</v>
      </c>
      <c r="B32" s="3">
        <v>2</v>
      </c>
      <c r="C32" s="3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498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1079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1080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4</v>
      </c>
      <c r="M35" s="3"/>
      <c r="N35" t="s">
        <v>1044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4</v>
      </c>
      <c r="M36" s="3"/>
      <c r="N36" t="s">
        <v>1045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/>
      <c r="M37" s="3"/>
      <c r="N37" t="s">
        <v>1046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/>
      <c r="M38" s="3"/>
      <c r="N38" t="s">
        <v>1047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/>
      <c r="M39" s="3"/>
      <c r="N39" t="s">
        <v>1084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/>
      <c r="M40" s="3"/>
      <c r="N40" t="s">
        <v>1083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519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/>
      <c r="M42" s="3"/>
      <c r="N42" t="s">
        <v>1082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/>
      <c r="M43" s="3"/>
      <c r="N43" t="s">
        <v>1081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1074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1073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1072</v>
      </c>
    </row>
    <row r="47" spans="1:14" x14ac:dyDescent="0.25">
      <c r="A47" s="3" t="s">
        <v>106</v>
      </c>
      <c r="B47" s="3">
        <v>3</v>
      </c>
      <c r="C47" s="4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1071</v>
      </c>
    </row>
    <row r="48" spans="1:14" x14ac:dyDescent="0.25">
      <c r="A48" s="3" t="s">
        <v>108</v>
      </c>
      <c r="B48" s="3">
        <v>3</v>
      </c>
      <c r="C48" s="4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1070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1065</v>
      </c>
    </row>
    <row r="50" spans="1:14" x14ac:dyDescent="0.25">
      <c r="A50" s="3" t="s">
        <v>112</v>
      </c>
      <c r="B50" s="3">
        <v>3</v>
      </c>
      <c r="C50" s="4">
        <v>11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t="s">
        <v>1064</v>
      </c>
    </row>
    <row r="51" spans="1:14" x14ac:dyDescent="0.25">
      <c r="A51" s="3" t="s">
        <v>114</v>
      </c>
      <c r="B51" s="3">
        <v>3</v>
      </c>
      <c r="C51" s="3">
        <v>12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t="s">
        <v>1057</v>
      </c>
    </row>
    <row r="52" spans="1:14" x14ac:dyDescent="0.25">
      <c r="A52" s="3" t="s">
        <v>116</v>
      </c>
      <c r="B52" s="3">
        <v>3</v>
      </c>
      <c r="C52" s="4">
        <v>13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t="s">
        <v>1050</v>
      </c>
    </row>
    <row r="53" spans="1:14" x14ac:dyDescent="0.25">
      <c r="A53" s="3" t="s">
        <v>118</v>
      </c>
      <c r="B53" s="3">
        <v>3</v>
      </c>
      <c r="C53" s="3">
        <v>14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t="s">
        <v>1049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1048</v>
      </c>
    </row>
    <row r="55" spans="1:14" x14ac:dyDescent="0.25">
      <c r="A55" s="3"/>
      <c r="B55" s="3"/>
      <c r="C55" s="4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738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740</v>
      </c>
    </row>
    <row r="57" spans="1:14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623</v>
      </c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749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750</v>
      </c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752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753</v>
      </c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4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A2C77-EAD8-4B7F-B2CC-3BD5622451C0}">
  <sheetPr codeName="Sheet35">
    <tabColor rgb="FFFFC69F"/>
  </sheetPr>
  <dimension ref="A1:V102"/>
  <sheetViews>
    <sheetView workbookViewId="0">
      <pane ySplit="1" topLeftCell="A2" activePane="bottomLeft" state="frozen"/>
      <selection activeCell="N2" sqref="N2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1266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4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1100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4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1101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3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1102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1103</v>
      </c>
    </row>
    <row r="6" spans="1:22" x14ac:dyDescent="0.25">
      <c r="A6" s="3" t="s">
        <v>24</v>
      </c>
      <c r="B6" s="3">
        <v>0</v>
      </c>
      <c r="C6" s="3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1104</v>
      </c>
    </row>
    <row r="7" spans="1:22" x14ac:dyDescent="0.25">
      <c r="A7" s="3" t="s">
        <v>26</v>
      </c>
      <c r="B7" s="3">
        <v>1</v>
      </c>
      <c r="C7" s="4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1110</v>
      </c>
    </row>
    <row r="8" spans="1:22" x14ac:dyDescent="0.25">
      <c r="A8" s="3" t="s">
        <v>28</v>
      </c>
      <c r="B8" s="3">
        <v>1</v>
      </c>
      <c r="C8" s="4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1111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1115</v>
      </c>
    </row>
    <row r="10" spans="1:22" x14ac:dyDescent="0.25">
      <c r="A10" s="3" t="s">
        <v>32</v>
      </c>
      <c r="B10" s="3">
        <v>1</v>
      </c>
      <c r="C10" s="3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1116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1117</v>
      </c>
    </row>
    <row r="12" spans="1:22" x14ac:dyDescent="0.25">
      <c r="A12" s="3" t="s">
        <v>36</v>
      </c>
      <c r="B12" s="3">
        <v>1</v>
      </c>
      <c r="C12" s="3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1125</v>
      </c>
    </row>
    <row r="13" spans="1:22" x14ac:dyDescent="0.25">
      <c r="A13" s="3" t="s">
        <v>38</v>
      </c>
      <c r="B13" s="3">
        <v>1</v>
      </c>
      <c r="C13" s="3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1126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1127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1128</v>
      </c>
    </row>
    <row r="16" spans="1:22" x14ac:dyDescent="0.25">
      <c r="A16" s="3" t="s">
        <v>44</v>
      </c>
      <c r="B16" s="3">
        <v>1</v>
      </c>
      <c r="C16" s="3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1129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/>
      <c r="M17" s="3"/>
      <c r="N17" t="s">
        <v>1139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/>
      <c r="M18" s="3"/>
      <c r="N18" t="s">
        <v>1140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/>
      <c r="M19" s="3"/>
      <c r="N19" t="s">
        <v>1141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/>
      <c r="M20" s="3"/>
      <c r="N20" t="s">
        <v>1142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/>
      <c r="M21" s="3"/>
      <c r="N21" t="s">
        <v>1089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/>
      <c r="M22" s="3"/>
      <c r="N22" t="s">
        <v>1090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1099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1106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1107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1109</v>
      </c>
    </row>
    <row r="27" spans="1:14" x14ac:dyDescent="0.25">
      <c r="A27" s="3" t="s">
        <v>66</v>
      </c>
      <c r="B27" s="3">
        <v>2</v>
      </c>
      <c r="C27" s="3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1130</v>
      </c>
    </row>
    <row r="28" spans="1:14" x14ac:dyDescent="0.25">
      <c r="A28" s="3" t="s">
        <v>68</v>
      </c>
      <c r="B28" s="3">
        <v>2</v>
      </c>
      <c r="C28" s="3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1131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>
        <v>11</v>
      </c>
      <c r="F29" s="3">
        <v>7</v>
      </c>
      <c r="G29" s="3">
        <v>1</v>
      </c>
      <c r="H29" s="3">
        <v>1</v>
      </c>
      <c r="I29" s="3"/>
      <c r="J29" s="3"/>
      <c r="K29" s="3"/>
      <c r="L29" s="3"/>
      <c r="M29" s="3"/>
      <c r="N29" t="s">
        <v>1108</v>
      </c>
    </row>
    <row r="30" spans="1:14" x14ac:dyDescent="0.25">
      <c r="A30" s="3" t="s">
        <v>72</v>
      </c>
      <c r="B30" s="3">
        <v>2</v>
      </c>
      <c r="C30" s="4">
        <v>7</v>
      </c>
      <c r="D30" s="3">
        <v>55</v>
      </c>
      <c r="E30" s="3">
        <v>12</v>
      </c>
      <c r="F30" s="3">
        <v>7</v>
      </c>
      <c r="G30" s="3"/>
      <c r="H30" s="3"/>
      <c r="I30" s="3"/>
      <c r="J30" s="3"/>
      <c r="K30" s="3"/>
      <c r="L30" s="3"/>
      <c r="M30" s="3"/>
      <c r="N30" t="s">
        <v>1114</v>
      </c>
    </row>
    <row r="31" spans="1:14" x14ac:dyDescent="0.25">
      <c r="A31" s="3" t="s">
        <v>74</v>
      </c>
      <c r="B31" s="3">
        <v>2</v>
      </c>
      <c r="C31" s="4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1</v>
      </c>
      <c r="N31" t="s">
        <v>1118</v>
      </c>
    </row>
    <row r="32" spans="1:14" x14ac:dyDescent="0.25">
      <c r="A32" s="3" t="s">
        <v>76</v>
      </c>
      <c r="B32" s="3">
        <v>2</v>
      </c>
      <c r="C32" s="3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1</v>
      </c>
      <c r="N32" t="s">
        <v>1119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1</v>
      </c>
      <c r="M33" s="3"/>
      <c r="N33" t="s">
        <v>1132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1</v>
      </c>
      <c r="M34" s="3"/>
      <c r="N34" t="s">
        <v>1133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1091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1092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7</v>
      </c>
      <c r="M37" s="3"/>
      <c r="N37" t="s">
        <v>1093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7</v>
      </c>
      <c r="M38" s="3"/>
      <c r="N38" t="s">
        <v>1094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1138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1137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>
        <v>8</v>
      </c>
      <c r="M41" s="3"/>
      <c r="N41" t="s">
        <v>1136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>
        <v>3</v>
      </c>
      <c r="M42" s="3"/>
      <c r="N42" t="s">
        <v>1135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>
        <v>3</v>
      </c>
      <c r="M43" s="3"/>
      <c r="N43" t="s">
        <v>1134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>
        <v>6</v>
      </c>
      <c r="M44" s="3"/>
      <c r="N44" t="s">
        <v>1124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>
        <v>6</v>
      </c>
      <c r="M45" s="3"/>
      <c r="N45" t="s">
        <v>1123</v>
      </c>
    </row>
    <row r="46" spans="1:14" x14ac:dyDescent="0.25">
      <c r="A46" s="3" t="s">
        <v>104</v>
      </c>
      <c r="B46" s="3">
        <v>3</v>
      </c>
      <c r="C46" s="3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>
        <v>8</v>
      </c>
      <c r="M46" s="3"/>
      <c r="N46" t="s">
        <v>1122</v>
      </c>
    </row>
    <row r="47" spans="1:14" x14ac:dyDescent="0.25">
      <c r="A47" s="3" t="s">
        <v>106</v>
      </c>
      <c r="B47" s="3">
        <v>3</v>
      </c>
      <c r="C47" s="4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1</v>
      </c>
      <c r="N47" t="s">
        <v>1121</v>
      </c>
    </row>
    <row r="48" spans="1:14" x14ac:dyDescent="0.25">
      <c r="A48" s="3" t="s">
        <v>108</v>
      </c>
      <c r="B48" s="3">
        <v>3</v>
      </c>
      <c r="C48" s="4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1120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>
        <v>13</v>
      </c>
      <c r="F49" s="3">
        <v>7</v>
      </c>
      <c r="G49" s="3">
        <v>1</v>
      </c>
      <c r="H49" s="3">
        <v>2</v>
      </c>
      <c r="I49" s="3"/>
      <c r="J49" s="3"/>
      <c r="K49" s="3"/>
      <c r="L49" s="3"/>
      <c r="M49" s="3"/>
      <c r="N49" t="s">
        <v>1113</v>
      </c>
    </row>
    <row r="50" spans="1:14" x14ac:dyDescent="0.25">
      <c r="A50" s="3" t="s">
        <v>112</v>
      </c>
      <c r="B50" s="3">
        <v>3</v>
      </c>
      <c r="C50" s="3">
        <v>11</v>
      </c>
      <c r="D50" s="3"/>
      <c r="E50" s="3">
        <v>17</v>
      </c>
      <c r="F50" s="3">
        <v>7</v>
      </c>
      <c r="G50" s="3"/>
      <c r="H50" s="3"/>
      <c r="I50" s="3"/>
      <c r="J50" s="3"/>
      <c r="K50" s="3">
        <v>1</v>
      </c>
      <c r="L50" s="3"/>
      <c r="M50" s="3"/>
      <c r="N50" t="s">
        <v>1112</v>
      </c>
    </row>
    <row r="51" spans="1:14" x14ac:dyDescent="0.25">
      <c r="A51" s="3" t="s">
        <v>114</v>
      </c>
      <c r="B51" s="3">
        <v>3</v>
      </c>
      <c r="C51" s="4">
        <v>12</v>
      </c>
      <c r="D51" s="3"/>
      <c r="E51" s="3">
        <v>14</v>
      </c>
      <c r="F51" s="3">
        <v>7</v>
      </c>
      <c r="G51" s="3"/>
      <c r="H51" s="3"/>
      <c r="I51" s="3"/>
      <c r="J51" s="3"/>
      <c r="K51" s="3">
        <v>2</v>
      </c>
      <c r="L51" s="3"/>
      <c r="M51" s="3"/>
      <c r="N51" t="s">
        <v>1105</v>
      </c>
    </row>
    <row r="52" spans="1:14" x14ac:dyDescent="0.25">
      <c r="A52" s="3" t="s">
        <v>116</v>
      </c>
      <c r="B52" s="3">
        <v>3</v>
      </c>
      <c r="C52" s="4">
        <v>13</v>
      </c>
      <c r="D52" s="3"/>
      <c r="E52" s="3"/>
      <c r="F52" s="3"/>
      <c r="G52" s="3"/>
      <c r="H52" s="3"/>
      <c r="I52" s="3"/>
      <c r="J52" s="3"/>
      <c r="K52" s="3">
        <v>1</v>
      </c>
      <c r="L52" s="3"/>
      <c r="M52" s="3"/>
      <c r="N52" t="s">
        <v>1098</v>
      </c>
    </row>
    <row r="53" spans="1:14" x14ac:dyDescent="0.25">
      <c r="A53" s="3" t="s">
        <v>118</v>
      </c>
      <c r="B53" s="3">
        <v>3</v>
      </c>
      <c r="C53" s="3">
        <v>14</v>
      </c>
      <c r="D53" s="3"/>
      <c r="E53" s="3"/>
      <c r="F53" s="3"/>
      <c r="G53" s="3"/>
      <c r="H53" s="3"/>
      <c r="I53" s="3"/>
      <c r="J53" s="3"/>
      <c r="K53" s="3">
        <v>2</v>
      </c>
      <c r="L53" s="3"/>
      <c r="M53" s="3"/>
      <c r="N53" t="s">
        <v>1097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1096</v>
      </c>
    </row>
    <row r="55" spans="1:14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1095</v>
      </c>
    </row>
    <row r="56" spans="1:14" x14ac:dyDescent="0.25">
      <c r="A56" s="3"/>
      <c r="B56" s="3"/>
      <c r="C56" s="4"/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740</v>
      </c>
    </row>
    <row r="57" spans="1:14" x14ac:dyDescent="0.25">
      <c r="A57" s="3"/>
      <c r="B57" s="3"/>
      <c r="C57" s="4"/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623</v>
      </c>
    </row>
    <row r="58" spans="1:14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749</v>
      </c>
    </row>
    <row r="59" spans="1:14" x14ac:dyDescent="0.25">
      <c r="A59" s="3"/>
      <c r="B59" s="3"/>
      <c r="C59" s="4"/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750</v>
      </c>
    </row>
    <row r="60" spans="1:14" x14ac:dyDescent="0.25">
      <c r="A60" s="3"/>
      <c r="B60" s="3"/>
      <c r="C60" s="4"/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752</v>
      </c>
    </row>
    <row r="61" spans="1:14" x14ac:dyDescent="0.25">
      <c r="A61" s="3"/>
      <c r="B61" s="3"/>
      <c r="C61" s="4"/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753</v>
      </c>
    </row>
    <row r="62" spans="1:14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501</v>
      </c>
    </row>
    <row r="63" spans="1:14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502</v>
      </c>
    </row>
    <row r="64" spans="1:14" x14ac:dyDescent="0.25">
      <c r="A64" s="3"/>
      <c r="B64" s="3"/>
      <c r="C64" s="4"/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517</v>
      </c>
    </row>
    <row r="65" spans="1:14" x14ac:dyDescent="0.25">
      <c r="A65" s="3"/>
      <c r="B65" s="3"/>
      <c r="C65" s="4"/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518</v>
      </c>
    </row>
    <row r="66" spans="1:14" x14ac:dyDescent="0.25">
      <c r="A66" s="3"/>
      <c r="B66" s="3"/>
      <c r="C66" s="4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1:14" x14ac:dyDescent="0.25">
      <c r="A67" s="3"/>
      <c r="B67" s="3"/>
      <c r="C67" s="4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1:14" x14ac:dyDescent="0.25">
      <c r="A68" s="3"/>
      <c r="B68" s="3"/>
      <c r="C68" s="4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1:14" x14ac:dyDescent="0.25">
      <c r="A69" s="3"/>
      <c r="B69" s="3"/>
      <c r="C69" s="4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1:14" x14ac:dyDescent="0.25">
      <c r="A70" s="3"/>
      <c r="B70" s="3"/>
      <c r="C70" s="4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1:14" x14ac:dyDescent="0.25">
      <c r="A72" s="3"/>
      <c r="B72" s="3"/>
      <c r="C72" s="4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4" x14ac:dyDescent="0.25">
      <c r="A78" s="3"/>
      <c r="B78" s="3"/>
      <c r="C78" s="4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4" x14ac:dyDescent="0.25">
      <c r="A79" s="3"/>
      <c r="B79" s="3"/>
      <c r="C79" s="4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C5F83-4540-4DBE-8E19-17B704F3D7CA}">
  <sheetPr codeName="Sheet36">
    <tabColor rgb="FFFF9D5B"/>
  </sheetPr>
  <dimension ref="A1:V102"/>
  <sheetViews>
    <sheetView workbookViewId="0">
      <pane ySplit="1" topLeftCell="A2" activePane="bottomLeft" state="frozen"/>
      <selection activeCell="N2" sqref="N2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1267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>
        <v>0</v>
      </c>
      <c r="F2" s="3">
        <v>7</v>
      </c>
      <c r="G2" s="3">
        <v>0</v>
      </c>
      <c r="H2" s="3">
        <v>1</v>
      </c>
      <c r="I2" s="3"/>
      <c r="J2" s="3"/>
      <c r="K2" s="3"/>
      <c r="L2" s="3"/>
      <c r="M2" s="3"/>
      <c r="N2" t="s">
        <v>1154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3">
        <v>1</v>
      </c>
      <c r="D3" s="3"/>
      <c r="E3" s="3">
        <v>1</v>
      </c>
      <c r="F3" s="3">
        <v>7</v>
      </c>
      <c r="G3" s="3"/>
      <c r="H3" s="3"/>
      <c r="I3" s="3"/>
      <c r="J3" s="3"/>
      <c r="K3" s="3"/>
      <c r="L3" s="3"/>
      <c r="M3" s="3"/>
      <c r="N3" t="s">
        <v>1156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2</v>
      </c>
      <c r="F4" s="3">
        <v>7</v>
      </c>
      <c r="G4" s="3"/>
      <c r="H4" s="3"/>
      <c r="I4" s="3"/>
      <c r="J4" s="3"/>
      <c r="K4" s="3"/>
      <c r="L4" s="3"/>
      <c r="M4" s="3"/>
      <c r="N4" t="s">
        <v>1158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3">
        <v>3</v>
      </c>
      <c r="D5" s="3"/>
      <c r="E5" s="3">
        <v>3</v>
      </c>
      <c r="F5" s="3">
        <v>7</v>
      </c>
      <c r="G5" s="3"/>
      <c r="H5" s="3"/>
      <c r="I5" s="3"/>
      <c r="J5" s="3"/>
      <c r="K5" s="3"/>
      <c r="L5" s="3"/>
      <c r="M5" s="3"/>
      <c r="N5" t="s">
        <v>1159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4</v>
      </c>
      <c r="F6" s="3">
        <v>7</v>
      </c>
      <c r="G6" s="3"/>
      <c r="H6" s="3"/>
      <c r="I6" s="3"/>
      <c r="J6" s="3"/>
      <c r="K6" s="3"/>
      <c r="L6" s="3"/>
      <c r="M6" s="3"/>
      <c r="N6" t="s">
        <v>1160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1166</v>
      </c>
    </row>
    <row r="8" spans="1:22" x14ac:dyDescent="0.25">
      <c r="A8" s="3" t="s">
        <v>28</v>
      </c>
      <c r="B8" s="3">
        <v>1</v>
      </c>
      <c r="C8" s="3">
        <v>1</v>
      </c>
      <c r="D8" s="3">
        <v>33</v>
      </c>
      <c r="E8" s="3">
        <v>6</v>
      </c>
      <c r="F8" s="3">
        <v>7</v>
      </c>
      <c r="G8" s="3"/>
      <c r="H8" s="3"/>
      <c r="I8" s="3"/>
      <c r="J8" s="3"/>
      <c r="K8" s="3"/>
      <c r="L8" s="3"/>
      <c r="M8" s="3"/>
      <c r="N8" t="s">
        <v>1167</v>
      </c>
    </row>
    <row r="9" spans="1:22" x14ac:dyDescent="0.25">
      <c r="A9" s="3" t="s">
        <v>30</v>
      </c>
      <c r="B9" s="3">
        <v>1</v>
      </c>
      <c r="C9" s="4">
        <v>2</v>
      </c>
      <c r="D9" s="3">
        <v>34</v>
      </c>
      <c r="E9" s="3">
        <v>7</v>
      </c>
      <c r="F9" s="3">
        <v>7</v>
      </c>
      <c r="G9" s="3">
        <v>3</v>
      </c>
      <c r="H9" s="3">
        <v>1</v>
      </c>
      <c r="I9" s="3"/>
      <c r="J9" s="3"/>
      <c r="K9" s="3"/>
      <c r="L9" s="3"/>
      <c r="M9" s="3"/>
      <c r="N9" t="s">
        <v>1171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8</v>
      </c>
      <c r="F10" s="3">
        <v>7</v>
      </c>
      <c r="G10" s="3"/>
      <c r="H10" s="3"/>
      <c r="I10" s="3"/>
      <c r="J10" s="3"/>
      <c r="K10" s="3"/>
      <c r="L10" s="3"/>
      <c r="M10" s="3"/>
      <c r="N10" t="s">
        <v>1172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/>
      <c r="F11" s="3"/>
      <c r="G11" s="3"/>
      <c r="H11" s="3"/>
      <c r="I11" s="3"/>
      <c r="J11" s="3"/>
      <c r="K11" s="3"/>
      <c r="L11" s="3"/>
      <c r="M11" s="3"/>
      <c r="N11" t="s">
        <v>1173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>
        <v>2</v>
      </c>
      <c r="J12" s="3"/>
      <c r="K12" s="3"/>
      <c r="L12" s="3"/>
      <c r="M12" s="3"/>
      <c r="N12" t="s">
        <v>1179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>
        <v>2</v>
      </c>
      <c r="J13" s="3"/>
      <c r="K13" s="3"/>
      <c r="L13" s="3"/>
      <c r="M13" s="3"/>
      <c r="N13" t="s">
        <v>39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9</v>
      </c>
      <c r="F14" s="3">
        <v>7</v>
      </c>
      <c r="G14" s="3"/>
      <c r="H14" s="3"/>
      <c r="I14" s="3"/>
      <c r="J14" s="3"/>
      <c r="K14" s="3"/>
      <c r="L14" s="3"/>
      <c r="M14" s="3"/>
      <c r="N14" t="s">
        <v>1180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10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43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>
        <v>11</v>
      </c>
      <c r="F16" s="3">
        <v>7</v>
      </c>
      <c r="G16" s="3"/>
      <c r="H16" s="3"/>
      <c r="I16" s="3">
        <v>1</v>
      </c>
      <c r="J16" s="3"/>
      <c r="K16" s="3"/>
      <c r="L16" s="3"/>
      <c r="M16" s="3"/>
      <c r="N16" t="s">
        <v>45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>
        <v>3</v>
      </c>
      <c r="M17" s="3"/>
      <c r="N17" t="s">
        <v>1191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>
        <v>3</v>
      </c>
      <c r="M18" s="3"/>
      <c r="N18" t="s">
        <v>1192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>
        <v>2</v>
      </c>
      <c r="M19" s="3"/>
      <c r="N19" t="s">
        <v>1193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>
        <v>2</v>
      </c>
      <c r="M20" s="3"/>
      <c r="N20" t="s">
        <v>1194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>
        <v>1</v>
      </c>
      <c r="M21" s="3"/>
      <c r="N21" t="s">
        <v>710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>
        <v>1</v>
      </c>
      <c r="M22" s="3"/>
      <c r="N22" t="s">
        <v>1144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12</v>
      </c>
      <c r="F23" s="3">
        <v>7</v>
      </c>
      <c r="G23" s="3"/>
      <c r="H23" s="3"/>
      <c r="I23" s="3"/>
      <c r="J23" s="3"/>
      <c r="K23" s="3"/>
      <c r="L23" s="3"/>
      <c r="M23" s="3"/>
      <c r="N23" t="s">
        <v>1153</v>
      </c>
    </row>
    <row r="24" spans="1:14" x14ac:dyDescent="0.25">
      <c r="A24" s="3" t="s">
        <v>60</v>
      </c>
      <c r="B24" s="3">
        <v>2</v>
      </c>
      <c r="C24" s="3">
        <v>1</v>
      </c>
      <c r="D24" s="3">
        <v>49</v>
      </c>
      <c r="E24" s="3">
        <v>13</v>
      </c>
      <c r="F24" s="3">
        <v>7</v>
      </c>
      <c r="G24" s="3"/>
      <c r="H24" s="3"/>
      <c r="I24" s="3"/>
      <c r="J24" s="3"/>
      <c r="K24" s="3"/>
      <c r="L24" s="3"/>
      <c r="M24" s="3"/>
      <c r="N24" t="s">
        <v>1162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14</v>
      </c>
      <c r="F25" s="3">
        <v>7</v>
      </c>
      <c r="G25" s="3"/>
      <c r="H25" s="3"/>
      <c r="I25" s="3"/>
      <c r="J25" s="3"/>
      <c r="K25" s="3"/>
      <c r="L25" s="3"/>
      <c r="M25" s="3"/>
      <c r="N25" t="s">
        <v>1163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/>
      <c r="F26" s="3"/>
      <c r="G26" s="3">
        <v>1</v>
      </c>
      <c r="H26" s="3">
        <v>1</v>
      </c>
      <c r="I26" s="3"/>
      <c r="J26" s="3"/>
      <c r="K26" s="3"/>
      <c r="L26" s="3"/>
      <c r="M26" s="3"/>
      <c r="N26" t="s">
        <v>1165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/>
      <c r="M27" s="3"/>
      <c r="N27" t="s">
        <v>1182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/>
      <c r="M28" s="3"/>
      <c r="N28" t="s">
        <v>1184</v>
      </c>
    </row>
    <row r="29" spans="1:14" x14ac:dyDescent="0.25">
      <c r="A29" s="3" t="s">
        <v>70</v>
      </c>
      <c r="B29" s="3">
        <v>2</v>
      </c>
      <c r="C29" s="4">
        <v>6</v>
      </c>
      <c r="D29" s="3">
        <v>54</v>
      </c>
      <c r="E29" s="3"/>
      <c r="F29" s="3"/>
      <c r="G29" s="3"/>
      <c r="H29" s="3"/>
      <c r="I29" s="3"/>
      <c r="J29" s="3"/>
      <c r="K29" s="3"/>
      <c r="L29" s="3"/>
      <c r="M29" s="3"/>
      <c r="N29" t="s">
        <v>1164</v>
      </c>
    </row>
    <row r="30" spans="1:14" x14ac:dyDescent="0.25">
      <c r="A30" s="3" t="s">
        <v>72</v>
      </c>
      <c r="B30" s="3">
        <v>2</v>
      </c>
      <c r="C30" s="3">
        <v>7</v>
      </c>
      <c r="D30" s="3">
        <v>55</v>
      </c>
      <c r="E30" s="3">
        <v>15</v>
      </c>
      <c r="F30" s="3">
        <v>7</v>
      </c>
      <c r="G30" s="3"/>
      <c r="H30" s="3"/>
      <c r="I30" s="3"/>
      <c r="J30" s="3"/>
      <c r="K30" s="3"/>
      <c r="L30" s="3"/>
      <c r="M30" s="3"/>
      <c r="N30" t="s">
        <v>1170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2</v>
      </c>
      <c r="N31" t="s">
        <v>75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2</v>
      </c>
      <c r="N32" t="s">
        <v>77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/>
      <c r="M33" s="3"/>
      <c r="N33" t="s">
        <v>1185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/>
      <c r="M34" s="3"/>
      <c r="N34" t="s">
        <v>1186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>
        <v>4</v>
      </c>
      <c r="M35" s="3"/>
      <c r="N35" t="s">
        <v>1146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>
        <v>4</v>
      </c>
      <c r="M36" s="3"/>
      <c r="N36" t="s">
        <v>1147</v>
      </c>
    </row>
    <row r="37" spans="1:14" x14ac:dyDescent="0.25">
      <c r="A37" s="3" t="s">
        <v>86</v>
      </c>
      <c r="B37" s="3">
        <v>2</v>
      </c>
      <c r="C37" s="4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/>
      <c r="M37" s="3"/>
      <c r="N37" t="s">
        <v>1148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/>
      <c r="M38" s="3"/>
      <c r="N38" t="s">
        <v>1149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/>
      <c r="M39" s="3"/>
      <c r="N39" t="s">
        <v>1190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/>
      <c r="M40" s="3"/>
      <c r="N40" t="s">
        <v>1189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/>
      <c r="M41" s="3"/>
      <c r="N41" t="s">
        <v>95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/>
      <c r="M42" s="3"/>
      <c r="N42" t="s">
        <v>1188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/>
      <c r="M43" s="3"/>
      <c r="N43" t="s">
        <v>1187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/>
      <c r="M44" s="3"/>
      <c r="N44" t="s">
        <v>1178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/>
      <c r="M45" s="3"/>
      <c r="N45" t="s">
        <v>1177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/>
      <c r="M46" s="3"/>
      <c r="N46" t="s">
        <v>1176</v>
      </c>
    </row>
    <row r="47" spans="1:14" x14ac:dyDescent="0.25">
      <c r="A47" s="3" t="s">
        <v>106</v>
      </c>
      <c r="B47" s="3">
        <v>3</v>
      </c>
      <c r="C47" s="3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2</v>
      </c>
      <c r="N47" t="s">
        <v>1175</v>
      </c>
    </row>
    <row r="48" spans="1:14" x14ac:dyDescent="0.25">
      <c r="A48" s="3" t="s">
        <v>108</v>
      </c>
      <c r="B48" s="3">
        <v>3</v>
      </c>
      <c r="C48" s="4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1174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/>
      <c r="F49" s="3"/>
      <c r="G49" s="3"/>
      <c r="H49" s="3"/>
      <c r="I49" s="3"/>
      <c r="J49" s="3"/>
      <c r="K49" s="3"/>
      <c r="L49" s="3"/>
      <c r="M49" s="3"/>
      <c r="N49" t="s">
        <v>1169</v>
      </c>
    </row>
    <row r="50" spans="1:14" x14ac:dyDescent="0.25">
      <c r="A50" s="3" t="s">
        <v>112</v>
      </c>
      <c r="B50" s="3">
        <v>3</v>
      </c>
      <c r="C50" s="4">
        <v>11</v>
      </c>
      <c r="D50" s="3"/>
      <c r="E50" s="3"/>
      <c r="F50" s="3"/>
      <c r="G50" s="3"/>
      <c r="H50" s="3"/>
      <c r="I50" s="3"/>
      <c r="J50" s="3"/>
      <c r="K50" s="3"/>
      <c r="L50" s="3"/>
      <c r="M50" s="3"/>
      <c r="N50" t="s">
        <v>1168</v>
      </c>
    </row>
    <row r="51" spans="1:14" x14ac:dyDescent="0.25">
      <c r="A51" s="3" t="s">
        <v>114</v>
      </c>
      <c r="B51" s="3">
        <v>3</v>
      </c>
      <c r="C51" s="4">
        <v>12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t="s">
        <v>1161</v>
      </c>
    </row>
    <row r="52" spans="1:14" x14ac:dyDescent="0.25">
      <c r="A52" s="3" t="s">
        <v>116</v>
      </c>
      <c r="B52" s="3">
        <v>3</v>
      </c>
      <c r="C52" s="4">
        <v>13</v>
      </c>
      <c r="D52" s="3"/>
      <c r="E52" s="3"/>
      <c r="F52" s="3"/>
      <c r="G52" s="3"/>
      <c r="H52" s="3"/>
      <c r="I52" s="3"/>
      <c r="J52" s="3"/>
      <c r="K52" s="3"/>
      <c r="L52" s="3"/>
      <c r="M52" s="3"/>
      <c r="N52" t="s">
        <v>1152</v>
      </c>
    </row>
    <row r="53" spans="1:14" x14ac:dyDescent="0.25">
      <c r="A53" s="3" t="s">
        <v>118</v>
      </c>
      <c r="B53" s="3">
        <v>3</v>
      </c>
      <c r="C53" s="4">
        <v>14</v>
      </c>
      <c r="D53" s="3"/>
      <c r="E53" s="3"/>
      <c r="F53" s="3"/>
      <c r="G53" s="3"/>
      <c r="H53" s="3"/>
      <c r="I53" s="3"/>
      <c r="J53" s="3"/>
      <c r="K53" s="3"/>
      <c r="L53" s="3"/>
      <c r="M53" s="3"/>
      <c r="N53" t="s">
        <v>1151</v>
      </c>
    </row>
    <row r="54" spans="1:14" x14ac:dyDescent="0.25">
      <c r="A54" s="3" t="s">
        <v>120</v>
      </c>
      <c r="B54" s="3">
        <v>3</v>
      </c>
      <c r="C54" s="3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1150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1143</v>
      </c>
    </row>
    <row r="56" spans="1:14" x14ac:dyDescent="0.25">
      <c r="A56" s="3" t="s">
        <v>124</v>
      </c>
      <c r="B56" s="3">
        <v>4</v>
      </c>
      <c r="C56" s="4">
        <v>1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1145</v>
      </c>
    </row>
    <row r="57" spans="1:14" x14ac:dyDescent="0.25">
      <c r="A57" s="3" t="s">
        <v>126</v>
      </c>
      <c r="B57" s="3">
        <v>4</v>
      </c>
      <c r="C57" s="3">
        <v>2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1155</v>
      </c>
    </row>
    <row r="58" spans="1:14" x14ac:dyDescent="0.25">
      <c r="A58" s="3" t="s">
        <v>128</v>
      </c>
      <c r="B58" s="3">
        <v>4</v>
      </c>
      <c r="C58" s="3">
        <v>3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1157</v>
      </c>
    </row>
    <row r="59" spans="1:14" x14ac:dyDescent="0.25">
      <c r="A59" s="3" t="s">
        <v>130</v>
      </c>
      <c r="B59" s="3">
        <v>4</v>
      </c>
      <c r="C59" s="4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131</v>
      </c>
    </row>
    <row r="60" spans="1:14" x14ac:dyDescent="0.25">
      <c r="A60" s="3" t="s">
        <v>132</v>
      </c>
      <c r="B60" s="3">
        <v>4</v>
      </c>
      <c r="C60" s="3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587</v>
      </c>
    </row>
    <row r="61" spans="1:14" x14ac:dyDescent="0.25">
      <c r="A61" s="3" t="s">
        <v>134</v>
      </c>
      <c r="B61" s="3">
        <v>4</v>
      </c>
      <c r="C61" s="3">
        <v>6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t="s">
        <v>601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603</v>
      </c>
    </row>
    <row r="63" spans="1:14" x14ac:dyDescent="0.25">
      <c r="A63" s="3" t="s">
        <v>138</v>
      </c>
      <c r="B63" s="3">
        <v>4</v>
      </c>
      <c r="C63" s="4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139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141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143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145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>
        <v>2</v>
      </c>
      <c r="J67" s="3"/>
      <c r="K67" s="3"/>
      <c r="L67" s="3"/>
      <c r="M67" s="3"/>
      <c r="N67" t="s">
        <v>1181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>
        <v>2</v>
      </c>
      <c r="J68" s="3"/>
      <c r="K68" s="3"/>
      <c r="L68" s="3"/>
      <c r="M68" s="3"/>
      <c r="N68" t="s">
        <v>1183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151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153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570</v>
      </c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572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573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588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589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594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595</v>
      </c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160</v>
      </c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161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162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163</v>
      </c>
    </row>
    <row r="82" spans="1:14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4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4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4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4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4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4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4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4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4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4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4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4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4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4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206-9ECA-496E-AFFC-565D1071B0E5}">
  <sheetPr codeName="Sheet37">
    <tabColor rgb="FFFFC69F"/>
  </sheetPr>
  <dimension ref="A1:V102"/>
  <sheetViews>
    <sheetView workbookViewId="0">
      <pane ySplit="1" topLeftCell="A2" activePane="bottomLeft" state="frozen"/>
      <selection activeCell="N2" sqref="N2"/>
      <selection pane="bottomLeft"/>
    </sheetView>
  </sheetViews>
  <sheetFormatPr defaultRowHeight="15" x14ac:dyDescent="0.25"/>
  <cols>
    <col min="14" max="14" width="68.28515625" bestFit="1" customWidth="1"/>
  </cols>
  <sheetData>
    <row r="1" spans="1:22" ht="30" customHeight="1" x14ac:dyDescent="0.25">
      <c r="A1" s="1" t="s">
        <v>0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2" t="s">
        <v>1269</v>
      </c>
      <c r="U1" s="14" t="b">
        <v>1</v>
      </c>
      <c r="V1" s="14" t="b">
        <v>1</v>
      </c>
    </row>
    <row r="2" spans="1:22" x14ac:dyDescent="0.25">
      <c r="A2" s="3" t="s">
        <v>12</v>
      </c>
      <c r="B2" s="3">
        <v>0</v>
      </c>
      <c r="C2" s="3">
        <v>0</v>
      </c>
      <c r="D2" s="3"/>
      <c r="E2" s="3"/>
      <c r="F2" s="3"/>
      <c r="G2" s="3"/>
      <c r="H2" s="3"/>
      <c r="I2" s="3"/>
      <c r="J2" s="3"/>
      <c r="K2" s="3"/>
      <c r="L2" s="3"/>
      <c r="M2" s="3"/>
      <c r="N2" t="s">
        <v>1207</v>
      </c>
      <c r="P2" t="s">
        <v>14</v>
      </c>
      <c r="Q2" t="s">
        <v>15</v>
      </c>
    </row>
    <row r="3" spans="1:22" x14ac:dyDescent="0.25">
      <c r="A3" s="3" t="s">
        <v>16</v>
      </c>
      <c r="B3" s="3">
        <v>0</v>
      </c>
      <c r="C3" s="3">
        <v>1</v>
      </c>
      <c r="D3" s="3"/>
      <c r="E3" s="3">
        <v>15</v>
      </c>
      <c r="F3" s="3">
        <v>7</v>
      </c>
      <c r="G3" s="3"/>
      <c r="H3" s="3"/>
      <c r="I3" s="3"/>
      <c r="J3" s="3"/>
      <c r="K3" s="3"/>
      <c r="L3" s="3"/>
      <c r="M3" s="3"/>
      <c r="N3" t="s">
        <v>1209</v>
      </c>
      <c r="P3" t="s">
        <v>18</v>
      </c>
      <c r="Q3" s="5">
        <v>45184</v>
      </c>
    </row>
    <row r="4" spans="1:22" x14ac:dyDescent="0.25">
      <c r="A4" s="3" t="s">
        <v>19</v>
      </c>
      <c r="B4" s="3">
        <v>0</v>
      </c>
      <c r="C4" s="4">
        <v>2</v>
      </c>
      <c r="D4" s="3"/>
      <c r="E4" s="3">
        <v>16</v>
      </c>
      <c r="F4" s="3">
        <v>7</v>
      </c>
      <c r="G4" s="3"/>
      <c r="H4" s="3"/>
      <c r="I4" s="3"/>
      <c r="J4" s="3"/>
      <c r="K4" s="3"/>
      <c r="L4" s="3"/>
      <c r="M4" s="3"/>
      <c r="N4" t="s">
        <v>1211</v>
      </c>
      <c r="P4" t="s">
        <v>21</v>
      </c>
      <c r="Q4" t="s">
        <v>460</v>
      </c>
    </row>
    <row r="5" spans="1:22" x14ac:dyDescent="0.25">
      <c r="A5" s="3" t="s">
        <v>22</v>
      </c>
      <c r="B5" s="3">
        <v>0</v>
      </c>
      <c r="C5" s="4">
        <v>3</v>
      </c>
      <c r="D5" s="3"/>
      <c r="E5" s="3">
        <v>0</v>
      </c>
      <c r="F5" s="3">
        <v>0</v>
      </c>
      <c r="G5" s="3">
        <v>0</v>
      </c>
      <c r="H5" s="3">
        <v>1</v>
      </c>
      <c r="I5" s="3"/>
      <c r="J5" s="3"/>
      <c r="K5" s="3">
        <v>1</v>
      </c>
      <c r="L5" s="3"/>
      <c r="M5" s="3"/>
      <c r="N5" t="s">
        <v>1212</v>
      </c>
    </row>
    <row r="6" spans="1:22" x14ac:dyDescent="0.25">
      <c r="A6" s="3" t="s">
        <v>24</v>
      </c>
      <c r="B6" s="3">
        <v>0</v>
      </c>
      <c r="C6" s="4">
        <v>4</v>
      </c>
      <c r="D6" s="3"/>
      <c r="E6" s="3">
        <v>1</v>
      </c>
      <c r="F6" s="3">
        <v>1</v>
      </c>
      <c r="G6" s="3">
        <v>0</v>
      </c>
      <c r="H6" s="3">
        <v>2</v>
      </c>
      <c r="I6" s="3"/>
      <c r="J6" s="3"/>
      <c r="K6" s="3">
        <v>3</v>
      </c>
      <c r="L6" s="3"/>
      <c r="M6" s="3"/>
      <c r="N6" t="s">
        <v>1214</v>
      </c>
    </row>
    <row r="7" spans="1:22" x14ac:dyDescent="0.25">
      <c r="A7" s="3" t="s">
        <v>26</v>
      </c>
      <c r="B7" s="3">
        <v>1</v>
      </c>
      <c r="C7" s="3">
        <v>0</v>
      </c>
      <c r="D7" s="3">
        <v>32</v>
      </c>
      <c r="E7" s="3">
        <v>5</v>
      </c>
      <c r="F7" s="3">
        <v>7</v>
      </c>
      <c r="G7" s="3"/>
      <c r="H7" s="3"/>
      <c r="I7" s="3"/>
      <c r="J7" s="3"/>
      <c r="K7" s="3"/>
      <c r="L7" s="3"/>
      <c r="M7" s="3"/>
      <c r="N7" t="s">
        <v>1221</v>
      </c>
    </row>
    <row r="8" spans="1:22" x14ac:dyDescent="0.25">
      <c r="A8" s="3" t="s">
        <v>28</v>
      </c>
      <c r="B8" s="3">
        <v>1</v>
      </c>
      <c r="C8" s="3">
        <v>1</v>
      </c>
      <c r="D8" s="3">
        <v>33</v>
      </c>
      <c r="E8" s="3">
        <v>4</v>
      </c>
      <c r="F8" s="3">
        <v>7</v>
      </c>
      <c r="G8" s="3"/>
      <c r="H8" s="3"/>
      <c r="I8" s="3"/>
      <c r="J8" s="3"/>
      <c r="K8" s="3"/>
      <c r="L8" s="3"/>
      <c r="M8" s="3"/>
      <c r="N8" t="s">
        <v>1222</v>
      </c>
    </row>
    <row r="9" spans="1:22" x14ac:dyDescent="0.25">
      <c r="A9" s="3" t="s">
        <v>30</v>
      </c>
      <c r="B9" s="3">
        <v>1</v>
      </c>
      <c r="C9" s="3">
        <v>2</v>
      </c>
      <c r="D9" s="3">
        <v>34</v>
      </c>
      <c r="E9" s="3">
        <v>3</v>
      </c>
      <c r="F9" s="3">
        <v>7</v>
      </c>
      <c r="G9" s="3">
        <v>3</v>
      </c>
      <c r="H9" s="3">
        <v>2</v>
      </c>
      <c r="I9" s="3"/>
      <c r="J9" s="3"/>
      <c r="K9" s="3"/>
      <c r="L9" s="3"/>
      <c r="M9" s="3"/>
      <c r="N9" t="s">
        <v>1228</v>
      </c>
    </row>
    <row r="10" spans="1:22" x14ac:dyDescent="0.25">
      <c r="A10" s="3" t="s">
        <v>32</v>
      </c>
      <c r="B10" s="3">
        <v>1</v>
      </c>
      <c r="C10" s="4">
        <v>3</v>
      </c>
      <c r="D10" s="3">
        <v>35</v>
      </c>
      <c r="E10" s="3">
        <v>18</v>
      </c>
      <c r="F10" s="3">
        <v>7</v>
      </c>
      <c r="G10" s="3">
        <v>0</v>
      </c>
      <c r="H10" s="3">
        <v>3</v>
      </c>
      <c r="I10" s="3"/>
      <c r="J10" s="3"/>
      <c r="K10" s="3">
        <v>3</v>
      </c>
      <c r="L10" s="3"/>
      <c r="M10" s="3"/>
      <c r="N10" t="s">
        <v>1230</v>
      </c>
    </row>
    <row r="11" spans="1:22" x14ac:dyDescent="0.25">
      <c r="A11" s="3" t="s">
        <v>34</v>
      </c>
      <c r="B11" s="3">
        <v>1</v>
      </c>
      <c r="C11" s="3">
        <v>4</v>
      </c>
      <c r="D11" s="3">
        <v>36</v>
      </c>
      <c r="E11" s="3">
        <v>9</v>
      </c>
      <c r="F11" s="3">
        <v>7</v>
      </c>
      <c r="G11" s="3"/>
      <c r="H11" s="3"/>
      <c r="I11" s="3"/>
      <c r="J11" s="3"/>
      <c r="K11" s="3"/>
      <c r="L11" s="3">
        <v>5</v>
      </c>
      <c r="M11" s="3"/>
      <c r="N11" t="s">
        <v>1232</v>
      </c>
    </row>
    <row r="12" spans="1:22" x14ac:dyDescent="0.25">
      <c r="A12" s="3" t="s">
        <v>36</v>
      </c>
      <c r="B12" s="3">
        <v>1</v>
      </c>
      <c r="C12" s="4">
        <v>5</v>
      </c>
      <c r="D12" s="3">
        <v>37</v>
      </c>
      <c r="E12" s="3"/>
      <c r="F12" s="3"/>
      <c r="G12" s="3"/>
      <c r="H12" s="3"/>
      <c r="I12" s="3"/>
      <c r="J12" s="3"/>
      <c r="K12" s="3"/>
      <c r="L12" s="3"/>
      <c r="M12" s="3"/>
      <c r="N12" t="s">
        <v>1240</v>
      </c>
    </row>
    <row r="13" spans="1:22" x14ac:dyDescent="0.25">
      <c r="A13" s="3" t="s">
        <v>38</v>
      </c>
      <c r="B13" s="3">
        <v>1</v>
      </c>
      <c r="C13" s="4">
        <v>6</v>
      </c>
      <c r="D13" s="3">
        <v>38</v>
      </c>
      <c r="E13" s="3"/>
      <c r="F13" s="3"/>
      <c r="G13" s="3"/>
      <c r="H13" s="3"/>
      <c r="I13" s="3"/>
      <c r="J13" s="3"/>
      <c r="K13" s="3"/>
      <c r="L13" s="3"/>
      <c r="M13" s="3"/>
      <c r="N13" t="s">
        <v>1241</v>
      </c>
    </row>
    <row r="14" spans="1:22" x14ac:dyDescent="0.25">
      <c r="A14" s="3" t="s">
        <v>40</v>
      </c>
      <c r="B14" s="3">
        <v>1</v>
      </c>
      <c r="C14" s="4">
        <v>7</v>
      </c>
      <c r="D14" s="3">
        <v>39</v>
      </c>
      <c r="E14" s="3">
        <v>6</v>
      </c>
      <c r="F14" s="3">
        <v>7</v>
      </c>
      <c r="G14" s="3"/>
      <c r="H14" s="3"/>
      <c r="I14" s="3"/>
      <c r="J14" s="3"/>
      <c r="K14" s="3"/>
      <c r="L14" s="3">
        <v>5</v>
      </c>
      <c r="M14" s="3"/>
      <c r="N14" t="s">
        <v>1243</v>
      </c>
    </row>
    <row r="15" spans="1:22" x14ac:dyDescent="0.25">
      <c r="A15" s="3" t="s">
        <v>42</v>
      </c>
      <c r="B15" s="3">
        <v>1</v>
      </c>
      <c r="C15" s="4">
        <v>8</v>
      </c>
      <c r="D15" s="3">
        <v>40</v>
      </c>
      <c r="E15" s="3">
        <v>7</v>
      </c>
      <c r="F15" s="3">
        <v>7</v>
      </c>
      <c r="G15" s="3"/>
      <c r="H15" s="3"/>
      <c r="I15" s="3">
        <v>1</v>
      </c>
      <c r="J15" s="3"/>
      <c r="K15" s="3"/>
      <c r="L15" s="3"/>
      <c r="M15" s="3"/>
      <c r="N15" t="s">
        <v>1245</v>
      </c>
    </row>
    <row r="16" spans="1:22" x14ac:dyDescent="0.25">
      <c r="A16" s="3" t="s">
        <v>44</v>
      </c>
      <c r="B16" s="3">
        <v>1</v>
      </c>
      <c r="C16" s="4">
        <v>9</v>
      </c>
      <c r="D16" s="3">
        <v>41</v>
      </c>
      <c r="E16" s="3"/>
      <c r="F16" s="3"/>
      <c r="G16" s="3"/>
      <c r="H16" s="3"/>
      <c r="I16" s="3">
        <v>1</v>
      </c>
      <c r="J16" s="3"/>
      <c r="K16" s="3"/>
      <c r="L16" s="3"/>
      <c r="M16" s="3"/>
      <c r="N16" t="s">
        <v>1246</v>
      </c>
    </row>
    <row r="17" spans="1:14" x14ac:dyDescent="0.25">
      <c r="A17" s="3" t="s">
        <v>46</v>
      </c>
      <c r="B17" s="3">
        <v>1</v>
      </c>
      <c r="C17" s="4">
        <v>10</v>
      </c>
      <c r="D17" s="3">
        <v>42</v>
      </c>
      <c r="E17" s="3"/>
      <c r="F17" s="3"/>
      <c r="G17" s="3"/>
      <c r="H17" s="3"/>
      <c r="I17" s="3"/>
      <c r="J17" s="3"/>
      <c r="K17" s="3"/>
      <c r="L17" s="3"/>
      <c r="M17" s="3"/>
      <c r="N17" t="s">
        <v>1258</v>
      </c>
    </row>
    <row r="18" spans="1:14" x14ac:dyDescent="0.25">
      <c r="A18" s="3" t="s">
        <v>48</v>
      </c>
      <c r="B18" s="3">
        <v>1</v>
      </c>
      <c r="C18" s="4">
        <v>11</v>
      </c>
      <c r="D18" s="3">
        <v>43</v>
      </c>
      <c r="E18" s="3"/>
      <c r="F18" s="3"/>
      <c r="G18" s="3"/>
      <c r="H18" s="3"/>
      <c r="I18" s="3"/>
      <c r="J18" s="3"/>
      <c r="K18" s="3"/>
      <c r="L18" s="3"/>
      <c r="M18" s="3"/>
      <c r="N18" t="s">
        <v>1259</v>
      </c>
    </row>
    <row r="19" spans="1:14" x14ac:dyDescent="0.25">
      <c r="A19" s="3" t="s">
        <v>50</v>
      </c>
      <c r="B19" s="3">
        <v>1</v>
      </c>
      <c r="C19" s="4">
        <v>12</v>
      </c>
      <c r="D19" s="3">
        <v>44</v>
      </c>
      <c r="E19" s="3"/>
      <c r="F19" s="3"/>
      <c r="G19" s="3"/>
      <c r="H19" s="3"/>
      <c r="I19" s="3"/>
      <c r="J19" s="3"/>
      <c r="K19" s="3"/>
      <c r="L19" s="3"/>
      <c r="M19" s="3"/>
      <c r="N19" t="s">
        <v>1261</v>
      </c>
    </row>
    <row r="20" spans="1:14" x14ac:dyDescent="0.25">
      <c r="A20" s="3" t="s">
        <v>52</v>
      </c>
      <c r="B20" s="3">
        <v>1</v>
      </c>
      <c r="C20" s="4">
        <v>13</v>
      </c>
      <c r="D20" s="3">
        <v>45</v>
      </c>
      <c r="E20" s="3"/>
      <c r="F20" s="3"/>
      <c r="G20" s="3"/>
      <c r="H20" s="3"/>
      <c r="I20" s="3"/>
      <c r="J20" s="3"/>
      <c r="K20" s="3"/>
      <c r="L20" s="3"/>
      <c r="M20" s="3"/>
      <c r="N20" t="s">
        <v>1263</v>
      </c>
    </row>
    <row r="21" spans="1:14" x14ac:dyDescent="0.25">
      <c r="A21" s="3" t="s">
        <v>54</v>
      </c>
      <c r="B21" s="3">
        <v>1</v>
      </c>
      <c r="C21" s="4">
        <v>14</v>
      </c>
      <c r="D21" s="3">
        <v>46</v>
      </c>
      <c r="E21" s="3"/>
      <c r="F21" s="3"/>
      <c r="G21" s="3"/>
      <c r="H21" s="3"/>
      <c r="I21" s="3"/>
      <c r="J21" s="3"/>
      <c r="K21" s="3"/>
      <c r="L21" s="3"/>
      <c r="M21" s="3"/>
      <c r="N21" t="s">
        <v>1089</v>
      </c>
    </row>
    <row r="22" spans="1:14" x14ac:dyDescent="0.25">
      <c r="A22" s="3" t="s">
        <v>56</v>
      </c>
      <c r="B22" s="3">
        <v>1</v>
      </c>
      <c r="C22" s="4">
        <v>15</v>
      </c>
      <c r="D22" s="3">
        <v>47</v>
      </c>
      <c r="E22" s="3"/>
      <c r="F22" s="3"/>
      <c r="G22" s="3"/>
      <c r="H22" s="3"/>
      <c r="I22" s="3"/>
      <c r="J22" s="3"/>
      <c r="K22" s="3"/>
      <c r="L22" s="3"/>
      <c r="M22" s="3"/>
      <c r="N22" t="s">
        <v>1196</v>
      </c>
    </row>
    <row r="23" spans="1:14" x14ac:dyDescent="0.25">
      <c r="A23" s="3" t="s">
        <v>58</v>
      </c>
      <c r="B23" s="3">
        <v>2</v>
      </c>
      <c r="C23" s="4">
        <v>0</v>
      </c>
      <c r="D23" s="3">
        <v>48</v>
      </c>
      <c r="E23" s="3">
        <v>10</v>
      </c>
      <c r="F23" s="3">
        <v>7</v>
      </c>
      <c r="G23" s="3"/>
      <c r="H23" s="3"/>
      <c r="I23" s="3"/>
      <c r="J23" s="3"/>
      <c r="K23" s="3"/>
      <c r="L23" s="3"/>
      <c r="M23" s="3"/>
      <c r="N23" t="s">
        <v>1206</v>
      </c>
    </row>
    <row r="24" spans="1:14" x14ac:dyDescent="0.25">
      <c r="A24" s="3" t="s">
        <v>60</v>
      </c>
      <c r="B24" s="3">
        <v>2</v>
      </c>
      <c r="C24" s="4">
        <v>1</v>
      </c>
      <c r="D24" s="3">
        <v>49</v>
      </c>
      <c r="E24" s="3">
        <v>1</v>
      </c>
      <c r="F24" s="3">
        <v>1</v>
      </c>
      <c r="G24" s="3"/>
      <c r="H24" s="3"/>
      <c r="I24" s="3"/>
      <c r="J24" s="3"/>
      <c r="K24" s="3"/>
      <c r="L24" s="3"/>
      <c r="M24" s="3"/>
      <c r="N24" t="s">
        <v>1217</v>
      </c>
    </row>
    <row r="25" spans="1:14" x14ac:dyDescent="0.25">
      <c r="A25" s="3" t="s">
        <v>62</v>
      </c>
      <c r="B25" s="3">
        <v>2</v>
      </c>
      <c r="C25" s="4">
        <v>2</v>
      </c>
      <c r="D25" s="3">
        <v>50</v>
      </c>
      <c r="E25" s="3">
        <v>0</v>
      </c>
      <c r="F25" s="3">
        <v>0</v>
      </c>
      <c r="G25" s="3"/>
      <c r="H25" s="3"/>
      <c r="I25" s="3"/>
      <c r="J25" s="3"/>
      <c r="K25" s="3"/>
      <c r="L25" s="3"/>
      <c r="M25" s="3"/>
      <c r="N25" t="s">
        <v>1218</v>
      </c>
    </row>
    <row r="26" spans="1:14" x14ac:dyDescent="0.25">
      <c r="A26" s="3" t="s">
        <v>64</v>
      </c>
      <c r="B26" s="3">
        <v>2</v>
      </c>
      <c r="C26" s="4">
        <v>3</v>
      </c>
      <c r="D26" s="3">
        <v>51</v>
      </c>
      <c r="E26" s="3">
        <v>8</v>
      </c>
      <c r="F26" s="3">
        <v>7</v>
      </c>
      <c r="G26" s="3">
        <v>1</v>
      </c>
      <c r="H26" s="3">
        <v>3</v>
      </c>
      <c r="I26" s="3"/>
      <c r="J26" s="3"/>
      <c r="K26" s="3"/>
      <c r="L26" s="3"/>
      <c r="M26" s="3"/>
      <c r="N26" t="s">
        <v>1220</v>
      </c>
    </row>
    <row r="27" spans="1:14" x14ac:dyDescent="0.25">
      <c r="A27" s="3" t="s">
        <v>66</v>
      </c>
      <c r="B27" s="3">
        <v>2</v>
      </c>
      <c r="C27" s="4">
        <v>4</v>
      </c>
      <c r="D27" s="3">
        <v>52</v>
      </c>
      <c r="E27" s="3"/>
      <c r="F27" s="3"/>
      <c r="G27" s="3"/>
      <c r="H27" s="3"/>
      <c r="I27" s="3"/>
      <c r="J27" s="3"/>
      <c r="K27" s="3"/>
      <c r="L27" s="3">
        <v>2</v>
      </c>
      <c r="M27" s="3"/>
      <c r="N27" t="s">
        <v>1248</v>
      </c>
    </row>
    <row r="28" spans="1:14" x14ac:dyDescent="0.25">
      <c r="A28" s="3" t="s">
        <v>68</v>
      </c>
      <c r="B28" s="3">
        <v>2</v>
      </c>
      <c r="C28" s="4">
        <v>5</v>
      </c>
      <c r="D28" s="3">
        <v>53</v>
      </c>
      <c r="E28" s="3"/>
      <c r="F28" s="3"/>
      <c r="G28" s="3"/>
      <c r="H28" s="3"/>
      <c r="I28" s="3"/>
      <c r="J28" s="3"/>
      <c r="K28" s="3"/>
      <c r="L28" s="3">
        <v>2</v>
      </c>
      <c r="M28" s="3"/>
      <c r="N28" t="s">
        <v>1250</v>
      </c>
    </row>
    <row r="29" spans="1:14" x14ac:dyDescent="0.25">
      <c r="A29" s="3" t="s">
        <v>70</v>
      </c>
      <c r="B29" s="3">
        <v>2</v>
      </c>
      <c r="C29" s="3">
        <v>6</v>
      </c>
      <c r="D29" s="3">
        <v>54</v>
      </c>
      <c r="E29" s="3">
        <v>11</v>
      </c>
      <c r="F29" s="3">
        <v>7</v>
      </c>
      <c r="G29" s="3">
        <v>1</v>
      </c>
      <c r="H29" s="3">
        <v>1</v>
      </c>
      <c r="I29" s="3"/>
      <c r="J29" s="3"/>
      <c r="K29" s="3"/>
      <c r="L29" s="3"/>
      <c r="M29" s="3"/>
      <c r="N29" t="s">
        <v>1219</v>
      </c>
    </row>
    <row r="30" spans="1:14" x14ac:dyDescent="0.25">
      <c r="A30" s="3" t="s">
        <v>72</v>
      </c>
      <c r="B30" s="3">
        <v>2</v>
      </c>
      <c r="C30" s="3">
        <v>7</v>
      </c>
      <c r="D30" s="3">
        <v>55</v>
      </c>
      <c r="E30" s="3">
        <v>12</v>
      </c>
      <c r="F30" s="3">
        <v>7</v>
      </c>
      <c r="G30" s="3"/>
      <c r="H30" s="3"/>
      <c r="I30" s="3"/>
      <c r="J30" s="3"/>
      <c r="K30" s="3"/>
      <c r="L30" s="3"/>
      <c r="M30" s="3"/>
      <c r="N30" t="s">
        <v>1227</v>
      </c>
    </row>
    <row r="31" spans="1:14" x14ac:dyDescent="0.25">
      <c r="A31" s="3" t="s">
        <v>74</v>
      </c>
      <c r="B31" s="3">
        <v>2</v>
      </c>
      <c r="C31" s="3">
        <v>8</v>
      </c>
      <c r="D31" s="3">
        <v>56</v>
      </c>
      <c r="E31" s="3"/>
      <c r="F31" s="3"/>
      <c r="G31" s="3"/>
      <c r="H31" s="3"/>
      <c r="I31" s="3">
        <v>1</v>
      </c>
      <c r="J31" s="3"/>
      <c r="K31" s="3"/>
      <c r="L31" s="3"/>
      <c r="M31" s="3">
        <v>1</v>
      </c>
      <c r="N31" t="s">
        <v>1233</v>
      </c>
    </row>
    <row r="32" spans="1:14" x14ac:dyDescent="0.25">
      <c r="A32" s="3" t="s">
        <v>76</v>
      </c>
      <c r="B32" s="3">
        <v>2</v>
      </c>
      <c r="C32" s="4">
        <v>9</v>
      </c>
      <c r="D32" s="3">
        <v>57</v>
      </c>
      <c r="E32" s="3"/>
      <c r="F32" s="3"/>
      <c r="G32" s="3"/>
      <c r="H32" s="3"/>
      <c r="I32" s="3">
        <v>1</v>
      </c>
      <c r="J32" s="3"/>
      <c r="K32" s="3"/>
      <c r="L32" s="3"/>
      <c r="M32" s="3">
        <v>1</v>
      </c>
      <c r="N32" t="s">
        <v>1234</v>
      </c>
    </row>
    <row r="33" spans="1:14" x14ac:dyDescent="0.25">
      <c r="A33" s="3" t="s">
        <v>78</v>
      </c>
      <c r="B33" s="3">
        <v>2</v>
      </c>
      <c r="C33" s="4">
        <v>10</v>
      </c>
      <c r="D33" s="3">
        <v>58</v>
      </c>
      <c r="E33" s="3"/>
      <c r="F33" s="3"/>
      <c r="G33" s="3"/>
      <c r="H33" s="3"/>
      <c r="I33" s="3"/>
      <c r="J33" s="3"/>
      <c r="K33" s="3"/>
      <c r="L33" s="3">
        <v>1</v>
      </c>
      <c r="M33" s="3"/>
      <c r="N33" t="s">
        <v>1251</v>
      </c>
    </row>
    <row r="34" spans="1:14" x14ac:dyDescent="0.25">
      <c r="A34" s="3" t="s">
        <v>80</v>
      </c>
      <c r="B34" s="3">
        <v>2</v>
      </c>
      <c r="C34" s="4">
        <v>11</v>
      </c>
      <c r="D34" s="3">
        <v>59</v>
      </c>
      <c r="E34" s="3"/>
      <c r="F34" s="3"/>
      <c r="G34" s="3"/>
      <c r="H34" s="3"/>
      <c r="I34" s="3"/>
      <c r="J34" s="3"/>
      <c r="K34" s="3"/>
      <c r="L34" s="3">
        <v>1</v>
      </c>
      <c r="M34" s="3"/>
      <c r="N34" t="s">
        <v>1252</v>
      </c>
    </row>
    <row r="35" spans="1:14" x14ac:dyDescent="0.25">
      <c r="A35" s="3" t="s">
        <v>82</v>
      </c>
      <c r="B35" s="3">
        <v>2</v>
      </c>
      <c r="C35" s="4">
        <v>12</v>
      </c>
      <c r="D35" s="3">
        <v>60</v>
      </c>
      <c r="E35" s="3"/>
      <c r="F35" s="3"/>
      <c r="G35" s="3"/>
      <c r="H35" s="3"/>
      <c r="I35" s="3"/>
      <c r="J35" s="3"/>
      <c r="K35" s="3"/>
      <c r="L35" s="3"/>
      <c r="M35" s="3"/>
      <c r="N35" t="s">
        <v>1198</v>
      </c>
    </row>
    <row r="36" spans="1:14" x14ac:dyDescent="0.25">
      <c r="A36" s="3" t="s">
        <v>84</v>
      </c>
      <c r="B36" s="3">
        <v>2</v>
      </c>
      <c r="C36" s="4">
        <v>13</v>
      </c>
      <c r="D36" s="3">
        <v>61</v>
      </c>
      <c r="E36" s="3"/>
      <c r="F36" s="3"/>
      <c r="G36" s="3"/>
      <c r="H36" s="3"/>
      <c r="I36" s="3"/>
      <c r="J36" s="3"/>
      <c r="K36" s="3"/>
      <c r="L36" s="3"/>
      <c r="M36" s="3"/>
      <c r="N36" t="s">
        <v>1199</v>
      </c>
    </row>
    <row r="37" spans="1:14" x14ac:dyDescent="0.25">
      <c r="A37" s="3" t="s">
        <v>86</v>
      </c>
      <c r="B37" s="3">
        <v>2</v>
      </c>
      <c r="C37" s="3">
        <v>14</v>
      </c>
      <c r="D37" s="3">
        <v>62</v>
      </c>
      <c r="E37" s="3"/>
      <c r="F37" s="3"/>
      <c r="G37" s="3"/>
      <c r="H37" s="3"/>
      <c r="I37" s="3"/>
      <c r="J37" s="3"/>
      <c r="K37" s="3"/>
      <c r="L37" s="3">
        <v>7</v>
      </c>
      <c r="M37" s="3"/>
      <c r="N37" t="s">
        <v>1200</v>
      </c>
    </row>
    <row r="38" spans="1:14" x14ac:dyDescent="0.25">
      <c r="A38" s="3" t="s">
        <v>88</v>
      </c>
      <c r="B38" s="3">
        <v>2</v>
      </c>
      <c r="C38" s="4">
        <v>15</v>
      </c>
      <c r="D38" s="3">
        <v>63</v>
      </c>
      <c r="E38" s="3"/>
      <c r="F38" s="3"/>
      <c r="G38" s="3"/>
      <c r="H38" s="3"/>
      <c r="I38" s="3"/>
      <c r="J38" s="3"/>
      <c r="K38" s="3"/>
      <c r="L38" s="3">
        <v>7</v>
      </c>
      <c r="M38" s="3"/>
      <c r="N38" t="s">
        <v>1201</v>
      </c>
    </row>
    <row r="39" spans="1:14" x14ac:dyDescent="0.25">
      <c r="A39" s="3" t="s">
        <v>90</v>
      </c>
      <c r="B39" s="3">
        <v>3</v>
      </c>
      <c r="C39" s="4">
        <v>0</v>
      </c>
      <c r="D39" s="3">
        <v>64</v>
      </c>
      <c r="E39" s="3"/>
      <c r="F39" s="3"/>
      <c r="G39" s="3"/>
      <c r="H39" s="3"/>
      <c r="I39" s="3"/>
      <c r="J39" s="3"/>
      <c r="K39" s="3"/>
      <c r="L39" s="3">
        <v>4</v>
      </c>
      <c r="M39" s="3"/>
      <c r="N39" t="s">
        <v>1257</v>
      </c>
    </row>
    <row r="40" spans="1:14" x14ac:dyDescent="0.25">
      <c r="A40" s="3" t="s">
        <v>92</v>
      </c>
      <c r="B40" s="3">
        <v>3</v>
      </c>
      <c r="C40" s="4">
        <v>1</v>
      </c>
      <c r="D40" s="3">
        <v>65</v>
      </c>
      <c r="E40" s="3"/>
      <c r="F40" s="3"/>
      <c r="G40" s="3"/>
      <c r="H40" s="3"/>
      <c r="I40" s="3"/>
      <c r="J40" s="3"/>
      <c r="K40" s="3"/>
      <c r="L40" s="3">
        <v>4</v>
      </c>
      <c r="M40" s="3"/>
      <c r="N40" t="s">
        <v>1256</v>
      </c>
    </row>
    <row r="41" spans="1:14" x14ac:dyDescent="0.25">
      <c r="A41" s="3" t="s">
        <v>94</v>
      </c>
      <c r="B41" s="3">
        <v>3</v>
      </c>
      <c r="C41" s="4">
        <v>2</v>
      </c>
      <c r="D41" s="3">
        <v>66</v>
      </c>
      <c r="E41" s="3"/>
      <c r="F41" s="3"/>
      <c r="G41" s="3"/>
      <c r="H41" s="3"/>
      <c r="I41" s="3"/>
      <c r="J41" s="3"/>
      <c r="K41" s="3"/>
      <c r="L41" s="3">
        <v>8</v>
      </c>
      <c r="M41" s="3"/>
      <c r="N41" t="s">
        <v>1255</v>
      </c>
    </row>
    <row r="42" spans="1:14" x14ac:dyDescent="0.25">
      <c r="A42" s="3" t="s">
        <v>96</v>
      </c>
      <c r="B42" s="3">
        <v>3</v>
      </c>
      <c r="C42" s="4">
        <v>3</v>
      </c>
      <c r="D42" s="3">
        <v>67</v>
      </c>
      <c r="E42" s="3"/>
      <c r="F42" s="3"/>
      <c r="G42" s="3"/>
      <c r="H42" s="3"/>
      <c r="I42" s="3"/>
      <c r="J42" s="3"/>
      <c r="K42" s="3"/>
      <c r="L42" s="3">
        <v>3</v>
      </c>
      <c r="M42" s="3"/>
      <c r="N42" t="s">
        <v>1254</v>
      </c>
    </row>
    <row r="43" spans="1:14" x14ac:dyDescent="0.25">
      <c r="A43" s="3" t="s">
        <v>98</v>
      </c>
      <c r="B43" s="3">
        <v>3</v>
      </c>
      <c r="C43" s="4">
        <v>4</v>
      </c>
      <c r="D43" s="3">
        <v>68</v>
      </c>
      <c r="E43" s="3"/>
      <c r="F43" s="3"/>
      <c r="G43" s="3"/>
      <c r="H43" s="3"/>
      <c r="I43" s="3"/>
      <c r="J43" s="3"/>
      <c r="K43" s="3"/>
      <c r="L43" s="3">
        <v>3</v>
      </c>
      <c r="M43" s="3"/>
      <c r="N43" t="s">
        <v>1253</v>
      </c>
    </row>
    <row r="44" spans="1:14" x14ac:dyDescent="0.25">
      <c r="A44" s="3" t="s">
        <v>100</v>
      </c>
      <c r="B44" s="3">
        <v>3</v>
      </c>
      <c r="C44" s="4">
        <v>5</v>
      </c>
      <c r="D44" s="3">
        <v>69</v>
      </c>
      <c r="E44" s="3"/>
      <c r="F44" s="3"/>
      <c r="G44" s="3"/>
      <c r="H44" s="3"/>
      <c r="I44" s="3"/>
      <c r="J44" s="3"/>
      <c r="K44" s="3"/>
      <c r="L44" s="3">
        <v>6</v>
      </c>
      <c r="M44" s="3"/>
      <c r="N44" t="s">
        <v>1239</v>
      </c>
    </row>
    <row r="45" spans="1:14" x14ac:dyDescent="0.25">
      <c r="A45" s="3" t="s">
        <v>102</v>
      </c>
      <c r="B45" s="3">
        <v>3</v>
      </c>
      <c r="C45" s="4">
        <v>6</v>
      </c>
      <c r="D45" s="3">
        <v>70</v>
      </c>
      <c r="E45" s="3"/>
      <c r="F45" s="3"/>
      <c r="G45" s="3"/>
      <c r="H45" s="3"/>
      <c r="I45" s="3"/>
      <c r="J45" s="3"/>
      <c r="K45" s="3"/>
      <c r="L45" s="3">
        <v>6</v>
      </c>
      <c r="M45" s="3"/>
      <c r="N45" t="s">
        <v>1238</v>
      </c>
    </row>
    <row r="46" spans="1:14" x14ac:dyDescent="0.25">
      <c r="A46" s="3" t="s">
        <v>104</v>
      </c>
      <c r="B46" s="3">
        <v>3</v>
      </c>
      <c r="C46" s="4">
        <v>7</v>
      </c>
      <c r="D46" s="3">
        <v>71</v>
      </c>
      <c r="E46" s="3"/>
      <c r="F46" s="3"/>
      <c r="G46" s="3"/>
      <c r="H46" s="3"/>
      <c r="I46" s="3"/>
      <c r="J46" s="3"/>
      <c r="K46" s="3"/>
      <c r="L46" s="3">
        <v>8</v>
      </c>
      <c r="M46" s="3"/>
      <c r="N46" t="s">
        <v>1237</v>
      </c>
    </row>
    <row r="47" spans="1:14" x14ac:dyDescent="0.25">
      <c r="A47" s="3" t="s">
        <v>106</v>
      </c>
      <c r="B47" s="3">
        <v>3</v>
      </c>
      <c r="C47" s="3">
        <v>8</v>
      </c>
      <c r="D47" s="3"/>
      <c r="E47" s="3"/>
      <c r="F47" s="3"/>
      <c r="G47" s="3"/>
      <c r="H47" s="3"/>
      <c r="I47" s="3"/>
      <c r="J47" s="3"/>
      <c r="K47" s="3"/>
      <c r="L47" s="3"/>
      <c r="M47" s="3">
        <v>1</v>
      </c>
      <c r="N47" t="s">
        <v>1236</v>
      </c>
    </row>
    <row r="48" spans="1:14" x14ac:dyDescent="0.25">
      <c r="A48" s="3" t="s">
        <v>108</v>
      </c>
      <c r="B48" s="3">
        <v>3</v>
      </c>
      <c r="C48" s="4">
        <v>9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t="s">
        <v>1235</v>
      </c>
    </row>
    <row r="49" spans="1:14" x14ac:dyDescent="0.25">
      <c r="A49" s="3" t="s">
        <v>110</v>
      </c>
      <c r="B49" s="3">
        <v>3</v>
      </c>
      <c r="C49" s="4">
        <v>10</v>
      </c>
      <c r="D49" s="3"/>
      <c r="E49" s="3">
        <v>13</v>
      </c>
      <c r="F49" s="3">
        <v>7</v>
      </c>
      <c r="G49" s="3">
        <v>1</v>
      </c>
      <c r="H49" s="3">
        <v>2</v>
      </c>
      <c r="I49" s="3"/>
      <c r="J49" s="3"/>
      <c r="K49" s="3"/>
      <c r="L49" s="3"/>
      <c r="M49" s="3"/>
      <c r="N49" t="s">
        <v>1225</v>
      </c>
    </row>
    <row r="50" spans="1:14" x14ac:dyDescent="0.25">
      <c r="A50" s="3" t="s">
        <v>112</v>
      </c>
      <c r="B50" s="3">
        <v>3</v>
      </c>
      <c r="C50" s="4">
        <v>11</v>
      </c>
      <c r="D50" s="3"/>
      <c r="E50" s="3">
        <v>17</v>
      </c>
      <c r="F50" s="3">
        <v>7</v>
      </c>
      <c r="G50" s="3"/>
      <c r="H50" s="3"/>
      <c r="I50" s="3"/>
      <c r="J50" s="3"/>
      <c r="K50" s="3">
        <v>1</v>
      </c>
      <c r="L50" s="3"/>
      <c r="M50" s="3"/>
      <c r="N50" t="s">
        <v>1223</v>
      </c>
    </row>
    <row r="51" spans="1:14" x14ac:dyDescent="0.25">
      <c r="A51" s="3" t="s">
        <v>114</v>
      </c>
      <c r="B51" s="3">
        <v>3</v>
      </c>
      <c r="C51" s="4">
        <v>12</v>
      </c>
      <c r="D51" s="3"/>
      <c r="E51" s="3">
        <v>14</v>
      </c>
      <c r="F51" s="3">
        <v>7</v>
      </c>
      <c r="G51" s="3"/>
      <c r="H51" s="3"/>
      <c r="I51" s="3"/>
      <c r="J51" s="3"/>
      <c r="K51" s="3">
        <v>2</v>
      </c>
      <c r="L51" s="3"/>
      <c r="M51" s="3"/>
      <c r="N51" t="s">
        <v>1216</v>
      </c>
    </row>
    <row r="52" spans="1:14" x14ac:dyDescent="0.25">
      <c r="A52" s="3" t="s">
        <v>116</v>
      </c>
      <c r="B52" s="3">
        <v>3</v>
      </c>
      <c r="C52" s="4">
        <v>13</v>
      </c>
      <c r="D52" s="3"/>
      <c r="E52" s="3"/>
      <c r="F52" s="3"/>
      <c r="G52" s="3"/>
      <c r="H52" s="3"/>
      <c r="I52" s="3"/>
      <c r="J52" s="3"/>
      <c r="K52" s="3">
        <v>1</v>
      </c>
      <c r="L52" s="3"/>
      <c r="M52" s="3"/>
      <c r="N52" t="s">
        <v>1205</v>
      </c>
    </row>
    <row r="53" spans="1:14" x14ac:dyDescent="0.25">
      <c r="A53" s="3" t="s">
        <v>118</v>
      </c>
      <c r="B53" s="3">
        <v>3</v>
      </c>
      <c r="C53" s="4">
        <v>14</v>
      </c>
      <c r="D53" s="3"/>
      <c r="E53" s="3"/>
      <c r="F53" s="3"/>
      <c r="G53" s="3"/>
      <c r="H53" s="3"/>
      <c r="I53" s="3"/>
      <c r="J53" s="3"/>
      <c r="K53" s="3">
        <v>2</v>
      </c>
      <c r="L53" s="3"/>
      <c r="M53" s="3"/>
      <c r="N53" t="s">
        <v>1204</v>
      </c>
    </row>
    <row r="54" spans="1:14" x14ac:dyDescent="0.25">
      <c r="A54" s="3" t="s">
        <v>120</v>
      </c>
      <c r="B54" s="3">
        <v>3</v>
      </c>
      <c r="C54" s="4">
        <v>15</v>
      </c>
      <c r="D54" s="3"/>
      <c r="E54" s="3"/>
      <c r="F54" s="3"/>
      <c r="G54" s="3"/>
      <c r="H54" s="3"/>
      <c r="I54" s="3"/>
      <c r="J54" s="3"/>
      <c r="K54" s="3"/>
      <c r="L54" s="3"/>
      <c r="M54" s="3"/>
      <c r="N54" t="s">
        <v>1203</v>
      </c>
    </row>
    <row r="55" spans="1:14" x14ac:dyDescent="0.25">
      <c r="A55" s="3" t="s">
        <v>122</v>
      </c>
      <c r="B55" s="3">
        <v>4</v>
      </c>
      <c r="C55" s="4">
        <v>0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t="s">
        <v>1195</v>
      </c>
    </row>
    <row r="56" spans="1:14" x14ac:dyDescent="0.25">
      <c r="A56" s="3" t="s">
        <v>124</v>
      </c>
      <c r="B56" s="3">
        <v>4</v>
      </c>
      <c r="C56" s="4">
        <v>1</v>
      </c>
      <c r="D56" s="3"/>
      <c r="E56" s="3"/>
      <c r="F56" s="3"/>
      <c r="G56" s="3"/>
      <c r="H56" s="3"/>
      <c r="I56" s="3"/>
      <c r="J56" s="3"/>
      <c r="K56" s="3"/>
      <c r="L56" s="3"/>
      <c r="M56" s="3"/>
      <c r="N56" t="s">
        <v>1197</v>
      </c>
    </row>
    <row r="57" spans="1:14" x14ac:dyDescent="0.25">
      <c r="A57" s="3" t="s">
        <v>126</v>
      </c>
      <c r="B57" s="3">
        <v>4</v>
      </c>
      <c r="C57" s="3">
        <v>2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t="s">
        <v>1208</v>
      </c>
    </row>
    <row r="58" spans="1:14" x14ac:dyDescent="0.25">
      <c r="A58" s="3" t="s">
        <v>128</v>
      </c>
      <c r="B58" s="3">
        <v>4</v>
      </c>
      <c r="C58" s="3">
        <v>3</v>
      </c>
      <c r="D58" s="3"/>
      <c r="E58" s="3"/>
      <c r="F58" s="3"/>
      <c r="G58" s="3"/>
      <c r="H58" s="3"/>
      <c r="I58" s="3"/>
      <c r="J58" s="3"/>
      <c r="K58" s="3"/>
      <c r="L58" s="3"/>
      <c r="M58" s="3"/>
      <c r="N58" t="s">
        <v>1210</v>
      </c>
    </row>
    <row r="59" spans="1:14" x14ac:dyDescent="0.25">
      <c r="A59" s="3" t="s">
        <v>130</v>
      </c>
      <c r="B59" s="3">
        <v>4</v>
      </c>
      <c r="C59" s="4">
        <v>4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t="s">
        <v>1213</v>
      </c>
    </row>
    <row r="60" spans="1:14" x14ac:dyDescent="0.25">
      <c r="A60" s="3" t="s">
        <v>132</v>
      </c>
      <c r="B60" s="3">
        <v>4</v>
      </c>
      <c r="C60" s="4">
        <v>5</v>
      </c>
      <c r="D60" s="3"/>
      <c r="E60" s="3"/>
      <c r="F60" s="3"/>
      <c r="G60" s="3"/>
      <c r="H60" s="3"/>
      <c r="I60" s="3"/>
      <c r="J60" s="3"/>
      <c r="K60" s="3"/>
      <c r="L60" s="3"/>
      <c r="M60" s="3"/>
      <c r="N60" t="s">
        <v>1215</v>
      </c>
    </row>
    <row r="61" spans="1:14" x14ac:dyDescent="0.25">
      <c r="A61" s="3" t="s">
        <v>134</v>
      </c>
      <c r="B61" s="3">
        <v>4</v>
      </c>
      <c r="C61" s="3">
        <v>6</v>
      </c>
      <c r="D61" s="3"/>
      <c r="E61" s="3"/>
      <c r="F61" s="3"/>
      <c r="G61" s="3"/>
      <c r="H61" s="3"/>
      <c r="I61" s="3"/>
      <c r="J61" s="3"/>
      <c r="K61" s="3">
        <v>3</v>
      </c>
      <c r="L61" s="3"/>
      <c r="M61" s="3"/>
      <c r="N61" t="s">
        <v>1224</v>
      </c>
    </row>
    <row r="62" spans="1:14" x14ac:dyDescent="0.25">
      <c r="A62" s="3" t="s">
        <v>136</v>
      </c>
      <c r="B62" s="3">
        <v>4</v>
      </c>
      <c r="C62" s="4">
        <v>7</v>
      </c>
      <c r="D62" s="3"/>
      <c r="E62" s="3"/>
      <c r="F62" s="3"/>
      <c r="G62" s="3"/>
      <c r="H62" s="3"/>
      <c r="I62" s="3"/>
      <c r="J62" s="3"/>
      <c r="K62" s="3"/>
      <c r="L62" s="3"/>
      <c r="M62" s="3"/>
      <c r="N62" t="s">
        <v>1226</v>
      </c>
    </row>
    <row r="63" spans="1:14" x14ac:dyDescent="0.25">
      <c r="A63" s="3" t="s">
        <v>138</v>
      </c>
      <c r="B63" s="3">
        <v>4</v>
      </c>
      <c r="C63" s="3">
        <v>8</v>
      </c>
      <c r="D63" s="3"/>
      <c r="E63" s="3"/>
      <c r="F63" s="3"/>
      <c r="G63" s="3"/>
      <c r="H63" s="3"/>
      <c r="I63" s="3"/>
      <c r="J63" s="3"/>
      <c r="K63" s="3"/>
      <c r="L63" s="3"/>
      <c r="M63" s="3"/>
      <c r="N63" t="s">
        <v>1229</v>
      </c>
    </row>
    <row r="64" spans="1:14" x14ac:dyDescent="0.25">
      <c r="A64" s="3" t="s">
        <v>140</v>
      </c>
      <c r="B64" s="3">
        <v>4</v>
      </c>
      <c r="C64" s="4">
        <v>9</v>
      </c>
      <c r="D64" s="3"/>
      <c r="E64" s="3"/>
      <c r="F64" s="3"/>
      <c r="G64" s="3"/>
      <c r="H64" s="3"/>
      <c r="I64" s="3"/>
      <c r="J64" s="3"/>
      <c r="K64" s="3"/>
      <c r="L64" s="3"/>
      <c r="M64" s="3"/>
      <c r="N64" t="s">
        <v>1231</v>
      </c>
    </row>
    <row r="65" spans="1:14" x14ac:dyDescent="0.25">
      <c r="A65" s="3" t="s">
        <v>142</v>
      </c>
      <c r="B65" s="3">
        <v>4</v>
      </c>
      <c r="C65" s="4">
        <v>10</v>
      </c>
      <c r="D65" s="3"/>
      <c r="E65" s="3"/>
      <c r="F65" s="3"/>
      <c r="G65" s="3"/>
      <c r="H65" s="3"/>
      <c r="I65" s="3"/>
      <c r="J65" s="3"/>
      <c r="K65" s="3"/>
      <c r="L65" s="3"/>
      <c r="M65" s="3"/>
      <c r="N65" t="s">
        <v>1242</v>
      </c>
    </row>
    <row r="66" spans="1:14" x14ac:dyDescent="0.25">
      <c r="A66" s="3" t="s">
        <v>144</v>
      </c>
      <c r="B66" s="3">
        <v>4</v>
      </c>
      <c r="C66" s="4">
        <v>11</v>
      </c>
      <c r="D66" s="3"/>
      <c r="E66" s="3"/>
      <c r="F66" s="3"/>
      <c r="G66" s="3"/>
      <c r="H66" s="3"/>
      <c r="I66" s="3"/>
      <c r="J66" s="3"/>
      <c r="K66" s="3"/>
      <c r="L66" s="3"/>
      <c r="M66" s="3"/>
      <c r="N66" t="s">
        <v>1244</v>
      </c>
    </row>
    <row r="67" spans="1:14" x14ac:dyDescent="0.25">
      <c r="A67" s="3" t="s">
        <v>146</v>
      </c>
      <c r="B67" s="3">
        <v>4</v>
      </c>
      <c r="C67" s="4">
        <v>12</v>
      </c>
      <c r="D67" s="3"/>
      <c r="E67" s="3"/>
      <c r="F67" s="3"/>
      <c r="G67" s="3"/>
      <c r="H67" s="3"/>
      <c r="I67" s="3"/>
      <c r="J67" s="3"/>
      <c r="K67" s="3"/>
      <c r="L67" s="3"/>
      <c r="M67" s="3"/>
      <c r="N67" t="s">
        <v>1247</v>
      </c>
    </row>
    <row r="68" spans="1:14" x14ac:dyDescent="0.25">
      <c r="A68" s="3" t="s">
        <v>148</v>
      </c>
      <c r="B68" s="3">
        <v>4</v>
      </c>
      <c r="C68" s="4">
        <v>13</v>
      </c>
      <c r="D68" s="3"/>
      <c r="E68" s="3"/>
      <c r="F68" s="3"/>
      <c r="G68" s="3"/>
      <c r="H68" s="3"/>
      <c r="I68" s="3"/>
      <c r="J68" s="3"/>
      <c r="K68" s="3"/>
      <c r="L68" s="3"/>
      <c r="M68" s="3"/>
      <c r="N68" t="s">
        <v>1249</v>
      </c>
    </row>
    <row r="69" spans="1:14" x14ac:dyDescent="0.25">
      <c r="A69" s="3" t="s">
        <v>150</v>
      </c>
      <c r="B69" s="3">
        <v>4</v>
      </c>
      <c r="C69" s="4">
        <v>14</v>
      </c>
      <c r="D69" s="3"/>
      <c r="E69" s="3"/>
      <c r="F69" s="3"/>
      <c r="G69" s="3"/>
      <c r="H69" s="3"/>
      <c r="I69" s="3"/>
      <c r="J69" s="3"/>
      <c r="K69" s="3"/>
      <c r="L69" s="3"/>
      <c r="M69" s="3"/>
      <c r="N69" t="s">
        <v>1260</v>
      </c>
    </row>
    <row r="70" spans="1:14" x14ac:dyDescent="0.25">
      <c r="A70" s="3" t="s">
        <v>152</v>
      </c>
      <c r="B70" s="3">
        <v>4</v>
      </c>
      <c r="C70" s="4">
        <v>15</v>
      </c>
      <c r="D70" s="3"/>
      <c r="E70" s="3"/>
      <c r="F70" s="3"/>
      <c r="G70" s="3"/>
      <c r="H70" s="3"/>
      <c r="I70" s="3"/>
      <c r="J70" s="3"/>
      <c r="K70" s="3"/>
      <c r="L70" s="3"/>
      <c r="M70" s="3"/>
      <c r="N70" t="s">
        <v>1262</v>
      </c>
    </row>
    <row r="71" spans="1:14" x14ac:dyDescent="0.25">
      <c r="A71" s="3"/>
      <c r="B71" s="3"/>
      <c r="C71" s="4"/>
      <c r="D71" s="3"/>
      <c r="E71" s="3"/>
      <c r="F71" s="3"/>
      <c r="G71" s="3"/>
      <c r="H71" s="3"/>
      <c r="I71" s="3"/>
      <c r="J71" s="3"/>
      <c r="K71" s="3"/>
      <c r="L71" s="3"/>
      <c r="M71" s="3"/>
      <c r="N71" t="s">
        <v>1202</v>
      </c>
    </row>
    <row r="72" spans="1:14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t="s">
        <v>572</v>
      </c>
    </row>
    <row r="73" spans="1:14" x14ac:dyDescent="0.25">
      <c r="A73" s="3"/>
      <c r="B73" s="3"/>
      <c r="C73" s="4"/>
      <c r="D73" s="3"/>
      <c r="E73" s="3"/>
      <c r="F73" s="3"/>
      <c r="G73" s="3"/>
      <c r="H73" s="3"/>
      <c r="I73" s="3"/>
      <c r="J73" s="3"/>
      <c r="K73" s="3"/>
      <c r="L73" s="3"/>
      <c r="M73" s="3"/>
      <c r="N73" t="s">
        <v>573</v>
      </c>
    </row>
    <row r="74" spans="1:14" x14ac:dyDescent="0.25">
      <c r="A74" s="3"/>
      <c r="B74" s="3"/>
      <c r="C74" s="4"/>
      <c r="D74" s="3"/>
      <c r="E74" s="3"/>
      <c r="F74" s="3"/>
      <c r="G74" s="3"/>
      <c r="H74" s="3"/>
      <c r="I74" s="3"/>
      <c r="J74" s="3"/>
      <c r="K74" s="3"/>
      <c r="L74" s="3"/>
      <c r="M74" s="3"/>
      <c r="N74" t="s">
        <v>588</v>
      </c>
    </row>
    <row r="75" spans="1:14" x14ac:dyDescent="0.25">
      <c r="A75" s="3"/>
      <c r="B75" s="3"/>
      <c r="C75" s="4"/>
      <c r="D75" s="3"/>
      <c r="E75" s="3"/>
      <c r="F75" s="3"/>
      <c r="G75" s="3"/>
      <c r="H75" s="3"/>
      <c r="I75" s="3"/>
      <c r="J75" s="3"/>
      <c r="K75" s="3"/>
      <c r="L75" s="3"/>
      <c r="M75" s="3"/>
      <c r="N75" t="s">
        <v>589</v>
      </c>
    </row>
    <row r="76" spans="1:14" x14ac:dyDescent="0.25">
      <c r="A76" s="3"/>
      <c r="B76" s="3"/>
      <c r="C76" s="4"/>
      <c r="D76" s="3"/>
      <c r="E76" s="3"/>
      <c r="F76" s="3"/>
      <c r="G76" s="3"/>
      <c r="H76" s="3"/>
      <c r="I76" s="3"/>
      <c r="J76" s="3"/>
      <c r="K76" s="3"/>
      <c r="L76" s="3"/>
      <c r="M76" s="3"/>
      <c r="N76" t="s">
        <v>594</v>
      </c>
    </row>
    <row r="77" spans="1:14" x14ac:dyDescent="0.25">
      <c r="A77" s="3"/>
      <c r="B77" s="3"/>
      <c r="C77" s="4"/>
      <c r="D77" s="3"/>
      <c r="E77" s="3"/>
      <c r="F77" s="3"/>
      <c r="G77" s="3"/>
      <c r="H77" s="3"/>
      <c r="I77" s="3"/>
      <c r="J77" s="3"/>
      <c r="K77" s="3"/>
      <c r="L77" s="3"/>
      <c r="M77" s="3"/>
      <c r="N77" t="s">
        <v>595</v>
      </c>
    </row>
    <row r="78" spans="1:14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t="s">
        <v>160</v>
      </c>
    </row>
    <row r="79" spans="1:14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t="s">
        <v>161</v>
      </c>
    </row>
    <row r="80" spans="1:14" x14ac:dyDescent="0.25">
      <c r="A80" s="3"/>
      <c r="B80" s="3"/>
      <c r="C80" s="4"/>
      <c r="D80" s="3"/>
      <c r="E80" s="3"/>
      <c r="F80" s="3"/>
      <c r="G80" s="3"/>
      <c r="H80" s="3"/>
      <c r="I80" s="3"/>
      <c r="J80" s="3"/>
      <c r="K80" s="3"/>
      <c r="L80" s="3"/>
      <c r="M80" s="3"/>
      <c r="N80" t="s">
        <v>162</v>
      </c>
    </row>
    <row r="81" spans="1:14" x14ac:dyDescent="0.25">
      <c r="A81" s="3"/>
      <c r="B81" s="3"/>
      <c r="C81" s="4"/>
      <c r="D81" s="3"/>
      <c r="E81" s="3"/>
      <c r="F81" s="3"/>
      <c r="G81" s="3"/>
      <c r="H81" s="3"/>
      <c r="I81" s="3"/>
      <c r="J81" s="3"/>
      <c r="K81" s="3"/>
      <c r="L81" s="3"/>
      <c r="M81" s="3"/>
      <c r="N81" t="s">
        <v>163</v>
      </c>
    </row>
    <row r="82" spans="1:14" x14ac:dyDescent="0.25">
      <c r="A82" s="3"/>
      <c r="B82" s="3"/>
      <c r="C82" s="4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4" x14ac:dyDescent="0.25">
      <c r="A83" s="3"/>
      <c r="B83" s="3"/>
      <c r="C83" s="4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4" x14ac:dyDescent="0.25">
      <c r="A84" s="3"/>
      <c r="B84" s="3"/>
      <c r="C84" s="4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4" x14ac:dyDescent="0.25">
      <c r="A85" s="3"/>
      <c r="B85" s="3"/>
      <c r="C85" s="4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4" x14ac:dyDescent="0.25">
      <c r="A86" s="3"/>
      <c r="B86" s="3"/>
      <c r="C86" s="4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4" x14ac:dyDescent="0.25">
      <c r="A87" s="3"/>
      <c r="B87" s="3"/>
      <c r="C87" s="4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4" x14ac:dyDescent="0.25">
      <c r="A88" s="3"/>
      <c r="B88" s="3"/>
      <c r="C88" s="4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4" x14ac:dyDescent="0.25">
      <c r="A89" s="3"/>
      <c r="B89" s="3"/>
      <c r="C89" s="4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4" x14ac:dyDescent="0.25">
      <c r="A90" s="3"/>
      <c r="B90" s="3"/>
      <c r="C90" s="4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4" x14ac:dyDescent="0.25">
      <c r="A91" s="3"/>
      <c r="B91" s="3"/>
      <c r="C91" s="4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4" x14ac:dyDescent="0.25">
      <c r="A92" s="3"/>
      <c r="B92" s="3"/>
      <c r="C92" s="4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4" x14ac:dyDescent="0.25">
      <c r="A93" s="3"/>
      <c r="B93" s="3"/>
      <c r="C93" s="4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4" x14ac:dyDescent="0.25">
      <c r="A94" s="3"/>
      <c r="B94" s="3"/>
      <c r="C94" s="4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4" x14ac:dyDescent="0.25">
      <c r="A95" s="3"/>
      <c r="B95" s="3"/>
      <c r="C95" s="4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4" x14ac:dyDescent="0.25">
      <c r="A96" s="3"/>
      <c r="B96" s="3"/>
      <c r="C96" s="4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3"/>
      <c r="B97" s="3"/>
      <c r="C97" s="4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25">
      <c r="A98" s="3"/>
      <c r="B98" s="3"/>
      <c r="C98" s="4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25">
      <c r="A99" s="3"/>
      <c r="B99" s="3"/>
      <c r="C99" s="4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ParsePinLIst">
                <anchor moveWithCells="1" sizeWithCells="1">
                  <from>
                    <xdr:col>15</xdr:col>
                    <xdr:colOff>0</xdr:colOff>
                    <xdr:row>0</xdr:row>
                    <xdr:rowOff>47625</xdr:rowOff>
                  </from>
                  <to>
                    <xdr:col>17</xdr:col>
                    <xdr:colOff>9525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GenerateDeclarationSource">
                <anchor moveWithCells="1" sizeWithCells="1">
                  <from>
                    <xdr:col>17</xdr:col>
                    <xdr:colOff>133350</xdr:colOff>
                    <xdr:row>0</xdr:row>
                    <xdr:rowOff>57150</xdr:rowOff>
                  </from>
                  <to>
                    <xdr:col>19</xdr:col>
                    <xdr:colOff>142875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Check Box 3">
              <controlPr defaultSize="0" autoFill="0" autoLine="0" autoPict="0">
                <anchor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18</xdr:col>
                    <xdr:colOff>552450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 Box 4">
              <controlPr defaultSize="0" autoFill="0" autoLine="0" autoPict="0">
                <anchor>
                  <from>
                    <xdr:col>15</xdr:col>
                    <xdr:colOff>28575</xdr:colOff>
                    <xdr:row>5</xdr:row>
                    <xdr:rowOff>171450</xdr:rowOff>
                  </from>
                  <to>
                    <xdr:col>17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MCU</vt:lpstr>
      <vt:lpstr>GPIO</vt:lpstr>
      <vt:lpstr>OBJECTS</vt:lpstr>
      <vt:lpstr>PROPERTIES</vt:lpstr>
      <vt:lpstr>Ara-02</vt:lpstr>
      <vt:lpstr>Ara-03</vt:lpstr>
      <vt:lpstr>Ara-05</vt:lpstr>
      <vt:lpstr>Sagitta-02</vt:lpstr>
      <vt:lpstr>Sagitta-03</vt:lpstr>
      <vt:lpstr>Sagitta-05</vt:lpstr>
      <vt:lpstr>Sagitta-06</vt:lpstr>
      <vt:lpstr>Sagitta-08</vt:lpstr>
      <vt:lpstr>SagittaP-05</vt:lpstr>
      <vt:lpstr>SagittaP-06</vt:lpstr>
      <vt:lpstr>SagittaP-08</vt:lpstr>
      <vt:lpstr>SagittaPP-05</vt:lpstr>
      <vt:lpstr>SagittaPP-06</vt:lpstr>
      <vt:lpstr>SagittaPP-08</vt:lpstr>
      <vt:lpstr>SagittaPP-10</vt:lpstr>
      <vt:lpstr>OctansP-08</vt:lpstr>
      <vt:lpstr>GeminiM-02</vt:lpstr>
      <vt:lpstr>GeminiS-02</vt:lpstr>
      <vt:lpstr>GeminiM-03</vt:lpstr>
      <vt:lpstr>GeminiS-03</vt:lpstr>
      <vt:lpstr>GeminiM-05</vt:lpstr>
      <vt:lpstr>GeminiS-05</vt:lpstr>
      <vt:lpstr>GeminiM-06</vt:lpstr>
      <vt:lpstr>GeminiS-06</vt:lpstr>
      <vt:lpstr>GeminiM-08</vt:lpstr>
      <vt:lpstr>GeminiS-08</vt:lpstr>
      <vt:lpstr>SagittariusM-05</vt:lpstr>
      <vt:lpstr>SagittariusS-05</vt:lpstr>
      <vt:lpstr>SagittariusM-06</vt:lpstr>
      <vt:lpstr>SagittariusS-06</vt:lpstr>
      <vt:lpstr>SagittariusM-08</vt:lpstr>
      <vt:lpstr>SagittariusS-08</vt:lpstr>
    </vt:vector>
  </TitlesOfParts>
  <Company>Microchip Technology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2023-08-17T16:09:08Z</dcterms:created>
  <dcterms:modified xsi:type="dcterms:W3CDTF">2025-04-09T21:20:04Z</dcterms:modified>
</cp:coreProperties>
</file>